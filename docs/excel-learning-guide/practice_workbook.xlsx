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01_יסודות" sheetId="2" state="visible" r:id="rId2"/>
    <sheet name="02_נוסחאות_בסיסיות" sheetId="3" state="visible" r:id="rId3"/>
    <sheet name="03_ניקוי_נתונים" sheetId="4" state="visible" r:id="rId4"/>
    <sheet name="04_VLOOKUP" sheetId="5" state="visible" r:id="rId5"/>
    <sheet name="05_PivotTable" sheetId="6" state="visible" r:id="rId6"/>
    <sheet name="06_Conditional_Formatting" sheetId="7" state="visible" r:id="rId7"/>
    <sheet name="07_Data_Quality" sheetId="8" state="visible" r:id="rId8"/>
    <sheet name="08_Power_Query" sheetId="9" state="visible" r:id="rId9"/>
    <sheet name="פתרונו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sz val="11"/>
    </font>
    <font>
      <b val="1"/>
      <color rgb="001F4E78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AF1F8"/>
        <b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9" fontId="0" fillId="3" borderId="0" pivotButton="0" quotePrefix="0" xfId="0"/>
    <xf numFmtId="0" fontId="4" fillId="2" borderId="1" applyAlignment="1" pivotButton="0" quotePrefix="0" xfId="0">
      <alignment horizontal="center" vertical="center"/>
    </xf>
    <xf numFmtId="9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right" wrapText="1"/>
    </xf>
    <xf numFmtId="0" fontId="0" fillId="0" borderId="1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קובץ תרגול Excel — הכנה למשרת Data Acceptance Engineer (כלל)</t>
        </is>
      </c>
    </row>
    <row r="2">
      <c r="A2" s="2" t="inlineStr"/>
    </row>
    <row r="3">
      <c r="A3" s="3" t="inlineStr">
        <is>
          <t>איך להשתמש בקובץ:</t>
        </is>
      </c>
    </row>
    <row r="4">
      <c r="A4" s="2" t="inlineStr">
        <is>
          <t>1. עברו על גיליון המדריך (README.md בריפו) פרק אחר פרק.</t>
        </is>
      </c>
    </row>
    <row r="5">
      <c r="A5" s="2" t="inlineStr">
        <is>
          <t>2. בכל פרק יש הפניה לגיליון המתאים כאן — פתחו אותו ובצעו את המשימה בעמודות המסומנות 'המשימה שלך'.</t>
        </is>
      </c>
    </row>
    <row r="6">
      <c r="A6" s="2" t="inlineStr">
        <is>
          <t>3. הנתונים בגיליונות 'מלוכלכים' בכוונה (רווחים מיותרים, כפילויות, שדות חסרים, תאריכים חריגים) — כמו קובץ אמיתי שמתקבל לבדיקת קבילות.</t>
        </is>
      </c>
    </row>
    <row r="7">
      <c r="A7" s="2" t="inlineStr">
        <is>
          <t>4. גיליון 'פתרונות' מכיל את הנוסחאות הנכונות עם הסבר — נסו לבד קודם.</t>
        </is>
      </c>
    </row>
    <row r="8">
      <c r="A8" s="2" t="inlineStr"/>
    </row>
    <row r="9">
      <c r="A9" s="3" t="inlineStr">
        <is>
          <t>רשימת הגיליונות:</t>
        </is>
      </c>
    </row>
    <row r="10">
      <c r="A10" s="2" t="inlineStr">
        <is>
          <t>01_יסודות — הכרת התאים, פורמט, הפניות מוחלטות</t>
        </is>
      </c>
    </row>
    <row r="11">
      <c r="A11" s="2" t="inlineStr">
        <is>
          <t>02_נוסחאות_בסיסיות — SUM, AVERAGE, COUNTIF, COUNTBLANK</t>
        </is>
      </c>
    </row>
    <row r="12">
      <c r="A12" s="2" t="inlineStr">
        <is>
          <t>03_ניקוי_נתונים — TRIM, PROPER, הסרת כפילויות</t>
        </is>
      </c>
    </row>
    <row r="13">
      <c r="A13" s="2" t="inlineStr">
        <is>
          <t>04_VLOOKUP — הצלבת נתונים מול טבלת מוצרים/סוכנים</t>
        </is>
      </c>
    </row>
    <row r="14">
      <c r="A14" s="2" t="inlineStr">
        <is>
          <t>05_PivotTable — סיכום פרמיה וכמות פוליסות</t>
        </is>
      </c>
    </row>
    <row r="15">
      <c r="A15" s="2" t="inlineStr">
        <is>
          <t>06_Conditional_Formatting — סימון חריגות אוטומטי</t>
        </is>
      </c>
    </row>
    <row r="16">
      <c r="A16" s="2" t="inlineStr">
        <is>
          <t>07_Data_Quality — עמודת שער (Gate) מסכמת קבילות רשומה</t>
        </is>
      </c>
    </row>
    <row r="17">
      <c r="A17" s="2" t="inlineStr">
        <is>
          <t>08_Power_Query — תרגול מודרך (אופציונלי) לניקוי נתונים דרך Power Query</t>
        </is>
      </c>
    </row>
    <row r="18">
      <c r="A18" s="2" t="inlineStr">
        <is>
          <t>פתרונות — נוסחאות פתרון עם הסבר</t>
        </is>
      </c>
    </row>
    <row r="19">
      <c r="A19" s="2" t="inlineStr"/>
    </row>
    <row r="20">
      <c r="A20" s="2" t="inlineStr">
        <is>
          <t>בהצלחה!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6" customWidth="1" min="4" max="4"/>
    <col width="45" customWidth="1" min="5" max="5"/>
    <col width="4" customWidth="1" min="6" max="6"/>
    <col width="14" customWidth="1" min="7" max="7"/>
  </cols>
  <sheetData>
    <row r="1">
      <c r="A1" s="1" t="inlineStr">
        <is>
          <t>פרק 1 — יסודות: פורמט תאים והפניות</t>
        </is>
      </c>
    </row>
    <row r="2">
      <c r="G2" s="4" t="inlineStr">
        <is>
          <t>אחוז הנחה קבוע לכל השורות:</t>
        </is>
      </c>
      <c r="H2" s="5" t="n">
        <v>0.1</v>
      </c>
    </row>
    <row r="3">
      <c r="A3" s="6" t="inlineStr">
        <is>
          <t>מוצר</t>
        </is>
      </c>
      <c r="B3" s="6" t="inlineStr">
        <is>
          <t>מחיר בסיס (₪)</t>
        </is>
      </c>
      <c r="C3" s="6" t="inlineStr">
        <is>
          <t>אחוז הנחה</t>
        </is>
      </c>
      <c r="D3" s="6" t="inlineStr">
        <is>
          <t>מחיר אחרי הנחה (המשימה שלך)</t>
        </is>
      </c>
      <c r="E3" s="6" t="inlineStr">
        <is>
          <t>הערות</t>
        </is>
      </c>
    </row>
    <row r="4">
      <c r="A4" t="inlineStr">
        <is>
          <t>ביטוח רכב</t>
        </is>
      </c>
      <c r="B4" t="n">
        <v>1800</v>
      </c>
      <c r="C4" s="7">
        <f>$H$2</f>
        <v/>
      </c>
      <c r="D4" t="inlineStr"/>
      <c r="E4" t="inlineStr">
        <is>
          <t>השלימו נוסחה בעמודה D שמשתמשת בהפניה מוחלטת ל-H2</t>
        </is>
      </c>
    </row>
    <row r="5">
      <c r="A5" t="inlineStr">
        <is>
          <t>ביטוח דירה</t>
        </is>
      </c>
      <c r="B5" t="n">
        <v>950</v>
      </c>
      <c r="C5" s="7">
        <f>$H$2</f>
        <v/>
      </c>
      <c r="D5" t="inlineStr"/>
      <c r="E5" t="inlineStr">
        <is>
          <t>השלימו נוסחה בעמודה D שמשתמשת בהפניה מוחלטת ל-H2</t>
        </is>
      </c>
    </row>
    <row r="6">
      <c r="A6" t="inlineStr">
        <is>
          <t>ביטוח חיים</t>
        </is>
      </c>
      <c r="B6" t="n">
        <v>2200</v>
      </c>
      <c r="C6" s="7">
        <f>$H$2</f>
        <v/>
      </c>
      <c r="D6" t="inlineStr"/>
      <c r="E6" t="inlineStr">
        <is>
          <t>השלימו נוסחה בעמודה D שמשתמשת בהפניה מוחלטת ל-H2</t>
        </is>
      </c>
    </row>
    <row r="7">
      <c r="A7" t="inlineStr">
        <is>
          <t>ביטוח בריאות</t>
        </is>
      </c>
      <c r="B7" t="n">
        <v>1450</v>
      </c>
      <c r="C7" s="7">
        <f>$H$2</f>
        <v/>
      </c>
      <c r="D7" t="inlineStr"/>
      <c r="E7" t="inlineStr">
        <is>
          <t>השלימו נוסחה בעמודה D שמשתמשת בהפניה מוחלטת ל-H2</t>
        </is>
      </c>
    </row>
    <row r="8">
      <c r="A8" t="inlineStr">
        <is>
          <t>ביטוח נסיעות</t>
        </is>
      </c>
      <c r="B8" t="n">
        <v>300</v>
      </c>
      <c r="C8" s="7">
        <f>$H$2</f>
        <v/>
      </c>
      <c r="D8" t="inlineStr"/>
      <c r="E8" t="inlineStr">
        <is>
          <t>השלימו נוסחה בעמודה D שמשתמשת בהפניה מוחלטת ל-H2</t>
        </is>
      </c>
    </row>
    <row r="10">
      <c r="A10" s="8" t="inlineStr">
        <is>
          <t>משימה: בעמודה D חשבו 'מחיר אחרי הנחה' = מחיר בסיס * (1 - $H$2). גררו את הנוסחה לכל השורות ווודאו שההפניה ל-H2 לא זזה.</t>
        </is>
      </c>
    </row>
    <row r="12">
      <c r="A12" s="4" t="inlineStr">
        <is>
          <t>תרגול נוסף: Data Validation (רשימה נפתחת)</t>
        </is>
      </c>
    </row>
    <row r="13">
      <c r="A13" s="9" t="inlineStr">
        <is>
          <t>דוגמה עובדת — לחצו על התא הבא לרשימה נפתחת:</t>
        </is>
      </c>
      <c r="B13" s="10" t="inlineStr">
        <is>
          <t>ביטוח רכב</t>
        </is>
      </c>
    </row>
    <row r="15">
      <c r="A15" s="8" t="inlineStr">
        <is>
          <t>המשימה שלך: בתא B16 הוסיפו בעצמכם רשימה נפתחת דרך Data → Data Validation → Allow: List, עם הערכים: קביל,נדחה,בבדיקה — בדיוק כמו שדה 'סטטוס' שהיה נחוץ בתהליך קבילות נתונים אמיתי.</t>
        </is>
      </c>
    </row>
    <row r="16">
      <c r="B16" s="11" t="n"/>
    </row>
  </sheetData>
  <mergeCells count="3">
    <mergeCell ref="A15:E15"/>
    <mergeCell ref="A1:E1"/>
    <mergeCell ref="A12:E12"/>
  </mergeCells>
  <dataValidations count="1">
    <dataValidation sqref="B13" showDropDown="0" showInputMessage="0" showErrorMessage="1" allowBlank="1" errorTitle="ערך לא תקין" error="יש לבחור ערך מהרשימה בלבד" type="list">
      <formula1>"ביטוח רכב,ביטוח דירה,ביטוח חיים,ביטוח בריאות,ביטוח נסיעות"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פרק 2 — נוסחאות בסיסיות</t>
        </is>
      </c>
    </row>
    <row r="3">
      <c r="A3" s="6" t="inlineStr">
        <is>
          <t>מספר פוליסה</t>
        </is>
      </c>
      <c r="B3" s="6" t="inlineStr">
        <is>
          <t>שם סוכן</t>
        </is>
      </c>
      <c r="C3" s="6" t="inlineStr">
        <is>
          <t>סוג מוצר</t>
        </is>
      </c>
      <c r="D3" s="6" t="inlineStr">
        <is>
          <t>פרמיה (₪)</t>
        </is>
      </c>
      <c r="E3" s="6" t="inlineStr">
        <is>
          <t>תאריך הנפקה</t>
        </is>
      </c>
      <c r="F3" s="6" t="inlineStr">
        <is>
          <t>מזהה לקוח</t>
        </is>
      </c>
    </row>
    <row r="4">
      <c r="A4" t="inlineStr">
        <is>
          <t>POL-1001</t>
        </is>
      </c>
      <c r="B4" t="inlineStr">
        <is>
          <t xml:space="preserve">  דוד לוי  </t>
        </is>
      </c>
      <c r="C4" t="inlineStr">
        <is>
          <t>P-CAR</t>
        </is>
      </c>
      <c r="D4" s="12" t="n">
        <v>3414.51</v>
      </c>
      <c r="E4" s="13" t="n">
        <v>45177</v>
      </c>
      <c r="F4" t="inlineStr">
        <is>
          <t>C-2000</t>
        </is>
      </c>
    </row>
    <row r="5">
      <c r="A5" t="inlineStr">
        <is>
          <t>POL-1002</t>
        </is>
      </c>
      <c r="B5" t="inlineStr">
        <is>
          <t>מיכל כהן</t>
        </is>
      </c>
      <c r="C5" t="inlineStr">
        <is>
          <t>P-HOME</t>
        </is>
      </c>
      <c r="D5" s="12" t="n">
        <v>3393.18</v>
      </c>
      <c r="E5" s="13" t="n">
        <v>45619</v>
      </c>
      <c r="F5" t="inlineStr">
        <is>
          <t>C-2001</t>
        </is>
      </c>
    </row>
    <row r="6">
      <c r="A6" t="inlineStr">
        <is>
          <t>POL-1003</t>
        </is>
      </c>
      <c r="B6" t="inlineStr">
        <is>
          <t>אבי מזרחי</t>
        </is>
      </c>
      <c r="C6" t="inlineStr">
        <is>
          <t>P-CAR</t>
        </is>
      </c>
      <c r="D6" s="12" t="n">
        <v>2780.07</v>
      </c>
      <c r="E6" s="13" t="n">
        <v>44959</v>
      </c>
      <c r="F6" t="inlineStr">
        <is>
          <t>C-2002</t>
        </is>
      </c>
    </row>
    <row r="7">
      <c r="A7" t="inlineStr">
        <is>
          <t>POL-1004</t>
        </is>
      </c>
      <c r="B7" t="inlineStr">
        <is>
          <t>דוד לוי</t>
        </is>
      </c>
      <c r="C7" t="inlineStr">
        <is>
          <t>P-CAR</t>
        </is>
      </c>
      <c r="D7" s="12" t="n">
        <v>1218.28</v>
      </c>
      <c r="E7" s="13" t="n">
        <v>45444</v>
      </c>
      <c r="F7" t="inlineStr">
        <is>
          <t>C-2003</t>
        </is>
      </c>
    </row>
    <row r="8">
      <c r="A8" t="inlineStr">
        <is>
          <t>POL-1005</t>
        </is>
      </c>
      <c r="B8" t="inlineStr">
        <is>
          <t>אבי מזרחי</t>
        </is>
      </c>
      <c r="C8" t="inlineStr">
        <is>
          <t>P-CAR</t>
        </is>
      </c>
      <c r="D8" s="12" t="n">
        <v>2657.23</v>
      </c>
      <c r="E8" s="13" t="n">
        <v>45660</v>
      </c>
      <c r="F8" t="inlineStr">
        <is>
          <t>C-2004</t>
        </is>
      </c>
    </row>
    <row r="9">
      <c r="A9" t="inlineStr">
        <is>
          <t>POL-1006</t>
        </is>
      </c>
      <c r="B9" t="inlineStr">
        <is>
          <t xml:space="preserve">  אבי מזרחי  </t>
        </is>
      </c>
      <c r="C9" t="inlineStr">
        <is>
          <t>P-HEALTH</t>
        </is>
      </c>
      <c r="D9" s="12" t="n">
        <v>1225.85</v>
      </c>
      <c r="E9" s="13" t="n">
        <v>45530</v>
      </c>
      <c r="F9" t="inlineStr">
        <is>
          <t>C-2005</t>
        </is>
      </c>
    </row>
    <row r="10">
      <c r="A10" t="inlineStr">
        <is>
          <t>POL-1007</t>
        </is>
      </c>
      <c r="B10" t="inlineStr">
        <is>
          <t>יוסי אברהם</t>
        </is>
      </c>
      <c r="C10" t="inlineStr">
        <is>
          <t>P-CAR</t>
        </is>
      </c>
      <c r="D10" s="12" t="n">
        <v>3486.99</v>
      </c>
      <c r="E10" s="13" t="n">
        <v>45090</v>
      </c>
      <c r="F10" t="inlineStr">
        <is>
          <t>C-2006</t>
        </is>
      </c>
    </row>
    <row r="11">
      <c r="A11" t="inlineStr">
        <is>
          <t>POL-1004</t>
        </is>
      </c>
      <c r="B11" t="inlineStr">
        <is>
          <t>רונית שמעוני</t>
        </is>
      </c>
      <c r="C11" t="inlineStr">
        <is>
          <t>P-LIFE</t>
        </is>
      </c>
      <c r="D11" s="12" t="n">
        <v>1467.06</v>
      </c>
      <c r="E11" s="13" t="n">
        <v>45147</v>
      </c>
      <c r="F11" t="inlineStr">
        <is>
          <t>C-2007</t>
        </is>
      </c>
    </row>
    <row r="12">
      <c r="A12" t="inlineStr">
        <is>
          <t>POL-1009</t>
        </is>
      </c>
      <c r="B12" t="inlineStr">
        <is>
          <t>יוסי אברהם</t>
        </is>
      </c>
      <c r="C12" t="inlineStr">
        <is>
          <t>P-CAR</t>
        </is>
      </c>
      <c r="D12" s="12" t="n">
        <v>689.53</v>
      </c>
      <c r="E12" s="13" t="n">
        <v>45026</v>
      </c>
      <c r="F12" t="inlineStr">
        <is>
          <t>C-2008</t>
        </is>
      </c>
    </row>
    <row r="13">
      <c r="A13" t="inlineStr">
        <is>
          <t>POL-1010</t>
        </is>
      </c>
      <c r="B13" t="inlineStr">
        <is>
          <t>יוסי אברהם</t>
        </is>
      </c>
      <c r="C13" t="inlineStr">
        <is>
          <t>P-LIFE</t>
        </is>
      </c>
      <c r="D13" s="12" t="n">
        <v>2835.65</v>
      </c>
      <c r="E13" s="13" t="n">
        <v>45753</v>
      </c>
      <c r="F13" t="inlineStr">
        <is>
          <t>C-2009</t>
        </is>
      </c>
    </row>
    <row r="14">
      <c r="A14" t="inlineStr">
        <is>
          <t>POL-1011</t>
        </is>
      </c>
      <c r="B14" t="inlineStr">
        <is>
          <t xml:space="preserve">  דוד לוי  </t>
        </is>
      </c>
      <c r="C14" t="inlineStr">
        <is>
          <t>P-PET</t>
        </is>
      </c>
      <c r="D14" s="12" t="n">
        <v>2229.58</v>
      </c>
      <c r="E14" s="13" t="n">
        <v>45054</v>
      </c>
      <c r="F14" t="inlineStr">
        <is>
          <t>C-2010</t>
        </is>
      </c>
    </row>
    <row r="15">
      <c r="A15" t="inlineStr">
        <is>
          <t>POL-1012</t>
        </is>
      </c>
      <c r="B15" t="inlineStr">
        <is>
          <t>רונית שמעוני</t>
        </is>
      </c>
      <c r="C15" t="inlineStr">
        <is>
          <t>P-CAR</t>
        </is>
      </c>
      <c r="D15" s="12" t="n">
        <v>2618.57</v>
      </c>
      <c r="E15" s="13" t="n">
        <v>45776</v>
      </c>
      <c r="F15" t="inlineStr">
        <is>
          <t>C-2011</t>
        </is>
      </c>
    </row>
    <row r="16">
      <c r="A16" t="inlineStr">
        <is>
          <t>POL-1013</t>
        </is>
      </c>
      <c r="B16" t="inlineStr">
        <is>
          <t>אבי מזרחי</t>
        </is>
      </c>
      <c r="C16" t="inlineStr">
        <is>
          <t>P-LIFE</t>
        </is>
      </c>
      <c r="D16" s="12" t="n">
        <v>-150</v>
      </c>
      <c r="E16" s="13" t="n">
        <v>45648</v>
      </c>
      <c r="F16" t="inlineStr">
        <is>
          <t>C-2012</t>
        </is>
      </c>
    </row>
    <row r="17">
      <c r="A17" t="inlineStr">
        <is>
          <t>POL-1014</t>
        </is>
      </c>
      <c r="B17" t="inlineStr">
        <is>
          <t>דוד לוי</t>
        </is>
      </c>
      <c r="C17" t="inlineStr">
        <is>
          <t>P-CAR</t>
        </is>
      </c>
      <c r="D17" s="12" t="n">
        <v>3077.31</v>
      </c>
      <c r="E17" s="13" t="n">
        <v>45718</v>
      </c>
      <c r="F17" t="inlineStr">
        <is>
          <t>C-2013</t>
        </is>
      </c>
    </row>
    <row r="18">
      <c r="A18" t="inlineStr">
        <is>
          <t>POL-1015</t>
        </is>
      </c>
      <c r="B18" t="inlineStr">
        <is>
          <t>יוסי אברהם</t>
        </is>
      </c>
      <c r="C18" t="inlineStr">
        <is>
          <t>P-CAR</t>
        </is>
      </c>
      <c r="D18" s="12" t="n">
        <v>3892.33</v>
      </c>
      <c r="E18" s="13" t="n">
        <v>45814</v>
      </c>
      <c r="F18" t="inlineStr">
        <is>
          <t>C-2014</t>
        </is>
      </c>
    </row>
    <row r="19">
      <c r="A19" t="inlineStr">
        <is>
          <t>POL-1016</t>
        </is>
      </c>
      <c r="B19" t="inlineStr">
        <is>
          <t xml:space="preserve">  דוד לוי  </t>
        </is>
      </c>
      <c r="C19" t="inlineStr">
        <is>
          <t>P-HEALTH</t>
        </is>
      </c>
      <c r="D19" s="12" t="n">
        <v>1467.49</v>
      </c>
      <c r="E19" s="13" t="n">
        <v>45577</v>
      </c>
      <c r="F19" t="inlineStr">
        <is>
          <t>C-2015</t>
        </is>
      </c>
    </row>
    <row r="20">
      <c r="A20" t="inlineStr">
        <is>
          <t>POL-1017</t>
        </is>
      </c>
      <c r="B20" t="inlineStr">
        <is>
          <t>יוסי אברהם</t>
        </is>
      </c>
      <c r="C20" t="inlineStr">
        <is>
          <t>P-HOME</t>
        </is>
      </c>
      <c r="D20" s="12" t="n">
        <v>1854.76</v>
      </c>
      <c r="E20" s="13" t="n">
        <v>45141</v>
      </c>
      <c r="F20" t="inlineStr">
        <is>
          <t>C-2016</t>
        </is>
      </c>
    </row>
    <row r="21">
      <c r="A21" t="inlineStr">
        <is>
          <t>POL-1018</t>
        </is>
      </c>
      <c r="B21" t="inlineStr">
        <is>
          <t>יוסי אברהם</t>
        </is>
      </c>
      <c r="C21" t="inlineStr">
        <is>
          <t>P-PET</t>
        </is>
      </c>
      <c r="D21" s="12" t="n">
        <v>4233.95</v>
      </c>
      <c r="E21" s="13" t="n">
        <v>45590</v>
      </c>
      <c r="F21" t="inlineStr">
        <is>
          <t>C-2017</t>
        </is>
      </c>
    </row>
    <row r="22">
      <c r="A22" t="inlineStr">
        <is>
          <t>POL-1019</t>
        </is>
      </c>
      <c r="B22" t="inlineStr">
        <is>
          <t>דוד לוי</t>
        </is>
      </c>
      <c r="C22" t="inlineStr">
        <is>
          <t>P-TRAVEL</t>
        </is>
      </c>
      <c r="D22" s="12" t="n">
        <v>2966.91</v>
      </c>
      <c r="E22" s="13" t="n">
        <v>45473</v>
      </c>
      <c r="F22" t="inlineStr"/>
    </row>
    <row r="23">
      <c r="A23" t="inlineStr">
        <is>
          <t>POL-1020</t>
        </is>
      </c>
      <c r="B23" t="inlineStr">
        <is>
          <t>מיכל כהן</t>
        </is>
      </c>
      <c r="C23" t="inlineStr">
        <is>
          <t>P-HOME</t>
        </is>
      </c>
      <c r="D23" s="12" t="n">
        <v>2241.49</v>
      </c>
      <c r="E23" s="13" t="n">
        <v>45203</v>
      </c>
      <c r="F23" t="inlineStr">
        <is>
          <t>C-2019</t>
        </is>
      </c>
    </row>
    <row r="24">
      <c r="A24" t="inlineStr">
        <is>
          <t>POL-1021</t>
        </is>
      </c>
      <c r="B24" t="inlineStr">
        <is>
          <t xml:space="preserve">  אבי מזרחי  </t>
        </is>
      </c>
      <c r="C24" t="inlineStr">
        <is>
          <t>P-HOME</t>
        </is>
      </c>
      <c r="D24" s="12" t="n">
        <v>3175.38</v>
      </c>
      <c r="E24" s="13" t="n">
        <v>45790</v>
      </c>
      <c r="F24" t="inlineStr">
        <is>
          <t>C-2020</t>
        </is>
      </c>
    </row>
    <row r="25">
      <c r="A25" t="inlineStr">
        <is>
          <t>POL-1022</t>
        </is>
      </c>
      <c r="B25" t="inlineStr">
        <is>
          <t>דוד לוי</t>
        </is>
      </c>
      <c r="C25" t="inlineStr">
        <is>
          <t>P-HOME</t>
        </is>
      </c>
      <c r="D25" s="12" t="n">
        <v>3751.57</v>
      </c>
      <c r="E25" s="13" t="n">
        <v>45751</v>
      </c>
      <c r="F25" t="inlineStr">
        <is>
          <t>C-2021</t>
        </is>
      </c>
    </row>
    <row r="26">
      <c r="A26" t="inlineStr">
        <is>
          <t>POL-1004</t>
        </is>
      </c>
      <c r="B26" t="inlineStr">
        <is>
          <t>יוסי אברהם</t>
        </is>
      </c>
      <c r="C26" t="inlineStr">
        <is>
          <t>P-HEALTH</t>
        </is>
      </c>
      <c r="D26" s="12" t="n">
        <v>1424.51</v>
      </c>
      <c r="E26" s="13" t="n">
        <v>45143</v>
      </c>
      <c r="F26" t="inlineStr">
        <is>
          <t>C-2022</t>
        </is>
      </c>
    </row>
    <row r="27">
      <c r="A27" t="inlineStr">
        <is>
          <t>POL-1024</t>
        </is>
      </c>
      <c r="B27" t="inlineStr">
        <is>
          <t>אבי מזרחי</t>
        </is>
      </c>
      <c r="C27" t="inlineStr">
        <is>
          <t>P-PET</t>
        </is>
      </c>
      <c r="D27" s="12" t="n">
        <v>1621.65</v>
      </c>
      <c r="E27" s="13" t="n">
        <v>45598</v>
      </c>
      <c r="F27" t="inlineStr">
        <is>
          <t>C-2023</t>
        </is>
      </c>
    </row>
    <row r="28">
      <c r="A28" t="inlineStr">
        <is>
          <t>POL-1025</t>
        </is>
      </c>
      <c r="B28" t="inlineStr">
        <is>
          <t>רונית שמעוני</t>
        </is>
      </c>
      <c r="C28" t="inlineStr">
        <is>
          <t>P-HEALTH</t>
        </is>
      </c>
      <c r="D28" s="12" t="n">
        <v>4015.67</v>
      </c>
      <c r="E28" s="13" t="n">
        <v>45585</v>
      </c>
      <c r="F28" t="inlineStr">
        <is>
          <t>C-2024</t>
        </is>
      </c>
    </row>
    <row r="29">
      <c r="A29" t="inlineStr">
        <is>
          <t>POL-1026</t>
        </is>
      </c>
      <c r="B29" t="inlineStr">
        <is>
          <t xml:space="preserve">  רונית שמעוני  </t>
        </is>
      </c>
      <c r="C29" t="inlineStr">
        <is>
          <t>P-HOME</t>
        </is>
      </c>
      <c r="D29" s="12" t="n">
        <v>1412.5</v>
      </c>
      <c r="E29" s="13" t="n">
        <v>45179</v>
      </c>
      <c r="F29" t="inlineStr">
        <is>
          <t>C-2025</t>
        </is>
      </c>
    </row>
    <row r="30">
      <c r="A30" t="inlineStr">
        <is>
          <t>POL-1027</t>
        </is>
      </c>
      <c r="B30" t="inlineStr">
        <is>
          <t>אבי מזרחי</t>
        </is>
      </c>
      <c r="C30" t="inlineStr">
        <is>
          <t>P-TRAVEL</t>
        </is>
      </c>
      <c r="D30" s="12" t="n">
        <v>1403.51</v>
      </c>
      <c r="E30" s="13" t="n">
        <v>45525</v>
      </c>
      <c r="F30" t="inlineStr">
        <is>
          <t>C-2026</t>
        </is>
      </c>
    </row>
    <row r="31">
      <c r="A31" t="inlineStr">
        <is>
          <t>POL-1028</t>
        </is>
      </c>
      <c r="B31" t="inlineStr">
        <is>
          <t>רונית שמעוני</t>
        </is>
      </c>
      <c r="C31" t="inlineStr">
        <is>
          <t>P-TRAVEL</t>
        </is>
      </c>
      <c r="D31" s="12" t="n">
        <v>1977.48</v>
      </c>
      <c r="E31" s="13" t="n">
        <v>45151</v>
      </c>
      <c r="F31" t="inlineStr">
        <is>
          <t>C-2027</t>
        </is>
      </c>
    </row>
    <row r="32">
      <c r="A32" t="inlineStr">
        <is>
          <t>POL-1029</t>
        </is>
      </c>
      <c r="B32" t="inlineStr">
        <is>
          <t>מיכל כהן</t>
        </is>
      </c>
      <c r="C32" t="inlineStr">
        <is>
          <t>P-TRAVEL</t>
        </is>
      </c>
      <c r="D32" s="12" t="n">
        <v>2372.77</v>
      </c>
      <c r="E32" s="13" t="n">
        <v>45700</v>
      </c>
      <c r="F32" t="inlineStr">
        <is>
          <t>C-2028</t>
        </is>
      </c>
    </row>
    <row r="33">
      <c r="A33" t="inlineStr">
        <is>
          <t>POL-1030</t>
        </is>
      </c>
      <c r="B33" t="inlineStr">
        <is>
          <t>דוד לוי</t>
        </is>
      </c>
      <c r="C33" t="inlineStr">
        <is>
          <t>P-CAR</t>
        </is>
      </c>
      <c r="D33" s="12" t="n">
        <v>941.9299999999999</v>
      </c>
      <c r="E33" s="13" t="n">
        <v>45090</v>
      </c>
      <c r="F33" t="inlineStr">
        <is>
          <t>C-2029</t>
        </is>
      </c>
    </row>
    <row r="34">
      <c r="A34" t="inlineStr">
        <is>
          <t>POL-1031</t>
        </is>
      </c>
      <c r="B34" t="inlineStr">
        <is>
          <t xml:space="preserve">  רונית שמעוני  </t>
        </is>
      </c>
      <c r="C34" t="inlineStr">
        <is>
          <t>P-TRAVEL</t>
        </is>
      </c>
      <c r="D34" s="12" t="n">
        <v>566.8200000000001</v>
      </c>
      <c r="E34" s="13" t="n">
        <v>46447</v>
      </c>
      <c r="F34" t="inlineStr">
        <is>
          <t>C-2030</t>
        </is>
      </c>
    </row>
    <row r="35">
      <c r="A35" t="inlineStr">
        <is>
          <t>POL-1032</t>
        </is>
      </c>
      <c r="B35" t="inlineStr">
        <is>
          <t>אבי מזרחי</t>
        </is>
      </c>
      <c r="C35" t="inlineStr">
        <is>
          <t>P-HEALTH</t>
        </is>
      </c>
      <c r="D35" s="12" t="n">
        <v>2522.28</v>
      </c>
      <c r="E35" s="13" t="n">
        <v>45493</v>
      </c>
      <c r="F35" t="inlineStr">
        <is>
          <t>C-2031</t>
        </is>
      </c>
    </row>
    <row r="36">
      <c r="A36" t="inlineStr">
        <is>
          <t>POL-1033</t>
        </is>
      </c>
      <c r="B36" t="inlineStr">
        <is>
          <t>דוד לוי</t>
        </is>
      </c>
      <c r="C36" t="inlineStr">
        <is>
          <t>P-PET</t>
        </is>
      </c>
      <c r="D36" s="12" t="n">
        <v>3327.03</v>
      </c>
      <c r="E36" s="13" t="n">
        <v>45625</v>
      </c>
      <c r="F36" t="inlineStr">
        <is>
          <t>C-2032</t>
        </is>
      </c>
    </row>
    <row r="37">
      <c r="A37" t="inlineStr">
        <is>
          <t>POL-1034</t>
        </is>
      </c>
      <c r="B37" t="inlineStr">
        <is>
          <t>אבי מזרחי</t>
        </is>
      </c>
      <c r="C37" t="inlineStr">
        <is>
          <t>P-LIFE</t>
        </is>
      </c>
      <c r="D37" s="12" t="n">
        <v>3528.11</v>
      </c>
      <c r="E37" s="13" t="n">
        <v>45275</v>
      </c>
      <c r="F37" t="inlineStr">
        <is>
          <t>C-2033</t>
        </is>
      </c>
    </row>
    <row r="38">
      <c r="A38" t="inlineStr">
        <is>
          <t>POL-1035</t>
        </is>
      </c>
      <c r="B38" t="inlineStr">
        <is>
          <t>דוד לוי</t>
        </is>
      </c>
      <c r="C38" t="inlineStr">
        <is>
          <t>P-LIFE</t>
        </is>
      </c>
      <c r="D38" s="12" t="n">
        <v>2126.01</v>
      </c>
      <c r="E38" s="13" t="n">
        <v>45391</v>
      </c>
      <c r="F38" t="inlineStr">
        <is>
          <t>C-2034</t>
        </is>
      </c>
    </row>
    <row r="39">
      <c r="A39" t="inlineStr">
        <is>
          <t>POL-1036</t>
        </is>
      </c>
      <c r="B39" t="inlineStr">
        <is>
          <t xml:space="preserve">  דוד לוי  </t>
        </is>
      </c>
      <c r="C39" t="inlineStr">
        <is>
          <t>P-PET</t>
        </is>
      </c>
      <c r="D39" s="12" t="n">
        <v>3978.58</v>
      </c>
      <c r="E39" s="13" t="n">
        <v>45196</v>
      </c>
      <c r="F39" t="inlineStr">
        <is>
          <t>C-2035</t>
        </is>
      </c>
    </row>
    <row r="40">
      <c r="A40" t="inlineStr">
        <is>
          <t>POL-1037</t>
        </is>
      </c>
      <c r="B40" t="inlineStr">
        <is>
          <t>אבי מזרחי</t>
        </is>
      </c>
      <c r="C40" t="inlineStr">
        <is>
          <t>P-HOME</t>
        </is>
      </c>
      <c r="D40" s="12" t="n">
        <v>2432.26</v>
      </c>
      <c r="E40" s="13" t="n">
        <v>45035</v>
      </c>
      <c r="F40" t="inlineStr">
        <is>
          <t>C-2036</t>
        </is>
      </c>
    </row>
    <row r="41">
      <c r="A41" t="inlineStr">
        <is>
          <t>POL-1038</t>
        </is>
      </c>
      <c r="B41" t="inlineStr">
        <is>
          <t>יוסי אברהם</t>
        </is>
      </c>
      <c r="C41" t="inlineStr">
        <is>
          <t>P-PET</t>
        </is>
      </c>
      <c r="D41" s="12" t="n">
        <v>2432.18</v>
      </c>
      <c r="E41" s="13" t="n">
        <v>45130</v>
      </c>
      <c r="F41" t="inlineStr">
        <is>
          <t>C-2037</t>
        </is>
      </c>
    </row>
    <row r="42">
      <c r="A42" t="inlineStr">
        <is>
          <t>POL-1039</t>
        </is>
      </c>
      <c r="B42" t="inlineStr">
        <is>
          <t>מיכל כהן</t>
        </is>
      </c>
      <c r="C42" t="inlineStr">
        <is>
          <t>P-LIFE</t>
        </is>
      </c>
      <c r="D42" s="12" t="n">
        <v>3502.55</v>
      </c>
      <c r="E42" s="13" t="n">
        <v>45479</v>
      </c>
      <c r="F42" t="inlineStr">
        <is>
          <t>C-2038</t>
        </is>
      </c>
    </row>
    <row r="43">
      <c r="A43" t="inlineStr">
        <is>
          <t>POL-1040</t>
        </is>
      </c>
      <c r="B43" t="inlineStr">
        <is>
          <t>אבי מזרחי</t>
        </is>
      </c>
      <c r="C43" t="inlineStr">
        <is>
          <t>P-CAR</t>
        </is>
      </c>
      <c r="D43" s="12" t="n">
        <v>2815.57</v>
      </c>
      <c r="E43" s="13" t="n">
        <v>45427</v>
      </c>
      <c r="F43" t="inlineStr">
        <is>
          <t>C-2039</t>
        </is>
      </c>
    </row>
    <row r="45">
      <c r="A45" s="4" t="inlineStr">
        <is>
          <t>המשימה שלך:</t>
        </is>
      </c>
    </row>
    <row r="46">
      <c r="A46" s="8" t="inlineStr">
        <is>
          <t>סה"כ פרמיה (SUM):</t>
        </is>
      </c>
      <c r="B46" s="10">
        <f>SUM(D4:D43)</f>
        <v/>
      </c>
    </row>
    <row r="47">
      <c r="A47" s="8" t="inlineStr">
        <is>
          <t>ממוצע פרמיה (AVERAGE):</t>
        </is>
      </c>
      <c r="B47" s="10" t="n"/>
    </row>
    <row r="48">
      <c r="A48" s="8" t="inlineStr">
        <is>
          <t>כמה רשומות עם מזהה לקוח חסר (COUNTBLANK על עמודה F):</t>
        </is>
      </c>
      <c r="B48" s="10" t="n"/>
    </row>
    <row r="49">
      <c r="A49" s="8" t="inlineStr">
        <is>
          <t>כמה פוליסות מסוג P-CAR (COUNTIF על עמודה C):</t>
        </is>
      </c>
      <c r="B49" s="10" t="n"/>
    </row>
    <row r="50">
      <c r="A50" s="8" t="inlineStr">
        <is>
          <t>סה"כ פרמיה רק עבור P-HEALTH (SUMIF):</t>
        </is>
      </c>
      <c r="B50" s="10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22" customWidth="1" min="5" max="5"/>
    <col width="18" customWidth="1" min="6" max="6"/>
  </cols>
  <sheetData>
    <row r="1">
      <c r="A1" s="1" t="inlineStr">
        <is>
          <t>פרק 3 — ניקוי נתונים (הנתונים המקוריים מלוכלכים בכוונה)</t>
        </is>
      </c>
    </row>
    <row r="3">
      <c r="A3" s="6" t="inlineStr">
        <is>
          <t>מספר פוליסה (מקור)</t>
        </is>
      </c>
      <c r="B3" s="6" t="inlineStr">
        <is>
          <t>שם סוכן (מקור - מלוכלך)</t>
        </is>
      </c>
      <c r="C3" s="6" t="inlineStr">
        <is>
          <t>סוג מוצר</t>
        </is>
      </c>
      <c r="D3" s="6" t="inlineStr">
        <is>
          <t>פרמיה (₪)</t>
        </is>
      </c>
      <c r="E3" s="6" t="inlineStr">
        <is>
          <t>שם סוכן נקי (המשימה שלך)</t>
        </is>
      </c>
      <c r="F3" s="6" t="inlineStr">
        <is>
          <t>כפילות? (המשימה שלך)</t>
        </is>
      </c>
    </row>
    <row r="4">
      <c r="A4" t="inlineStr">
        <is>
          <t>POL-1001</t>
        </is>
      </c>
      <c r="B4" t="inlineStr">
        <is>
          <t xml:space="preserve">  דוד לוי  </t>
        </is>
      </c>
      <c r="C4" t="inlineStr">
        <is>
          <t>P-CAR</t>
        </is>
      </c>
      <c r="D4" s="12" t="n">
        <v>3414.51</v>
      </c>
      <c r="E4" t="inlineStr"/>
      <c r="F4" t="inlineStr"/>
    </row>
    <row r="5">
      <c r="A5" t="inlineStr">
        <is>
          <t>POL-1002</t>
        </is>
      </c>
      <c r="B5" t="inlineStr">
        <is>
          <t>מיכל כהן</t>
        </is>
      </c>
      <c r="C5" t="inlineStr">
        <is>
          <t>P-HOME</t>
        </is>
      </c>
      <c r="D5" s="12" t="n">
        <v>3393.18</v>
      </c>
      <c r="E5" t="inlineStr"/>
      <c r="F5" t="inlineStr"/>
    </row>
    <row r="6">
      <c r="A6" t="inlineStr">
        <is>
          <t>POL-1003</t>
        </is>
      </c>
      <c r="B6" t="inlineStr">
        <is>
          <t>אבי מזרחי</t>
        </is>
      </c>
      <c r="C6" t="inlineStr">
        <is>
          <t>P-CAR</t>
        </is>
      </c>
      <c r="D6" s="12" t="n">
        <v>2780.07</v>
      </c>
      <c r="E6" t="inlineStr"/>
      <c r="F6" t="inlineStr"/>
    </row>
    <row r="7">
      <c r="A7" t="inlineStr">
        <is>
          <t>POL-1004</t>
        </is>
      </c>
      <c r="B7" t="inlineStr">
        <is>
          <t>דוד לוי</t>
        </is>
      </c>
      <c r="C7" t="inlineStr">
        <is>
          <t>P-CAR</t>
        </is>
      </c>
      <c r="D7" s="12" t="n">
        <v>1218.28</v>
      </c>
      <c r="E7" t="inlineStr"/>
      <c r="F7" t="inlineStr"/>
    </row>
    <row r="8">
      <c r="A8" t="inlineStr">
        <is>
          <t>POL-1005</t>
        </is>
      </c>
      <c r="B8" t="inlineStr">
        <is>
          <t>אבי מזרחי</t>
        </is>
      </c>
      <c r="C8" t="inlineStr">
        <is>
          <t>P-CAR</t>
        </is>
      </c>
      <c r="D8" s="12" t="n">
        <v>2657.23</v>
      </c>
      <c r="E8" t="inlineStr"/>
      <c r="F8" t="inlineStr"/>
    </row>
    <row r="9">
      <c r="A9" t="inlineStr">
        <is>
          <t>POL-1006</t>
        </is>
      </c>
      <c r="B9" t="inlineStr">
        <is>
          <t xml:space="preserve">  אבי מזרחי  </t>
        </is>
      </c>
      <c r="C9" t="inlineStr">
        <is>
          <t>P-HEALTH</t>
        </is>
      </c>
      <c r="D9" s="12" t="n">
        <v>1225.85</v>
      </c>
      <c r="E9" t="inlineStr"/>
      <c r="F9" t="inlineStr"/>
    </row>
    <row r="10">
      <c r="A10" t="inlineStr">
        <is>
          <t>POL-1007</t>
        </is>
      </c>
      <c r="B10" t="inlineStr">
        <is>
          <t>יוסי אברהם</t>
        </is>
      </c>
      <c r="C10" t="inlineStr">
        <is>
          <t>P-CAR</t>
        </is>
      </c>
      <c r="D10" s="12" t="n">
        <v>3486.99</v>
      </c>
      <c r="E10" t="inlineStr"/>
      <c r="F10" t="inlineStr"/>
    </row>
    <row r="11">
      <c r="A11" t="inlineStr">
        <is>
          <t>POL-1004</t>
        </is>
      </c>
      <c r="B11" t="inlineStr">
        <is>
          <t>רונית שמעוני</t>
        </is>
      </c>
      <c r="C11" t="inlineStr">
        <is>
          <t>P-LIFE</t>
        </is>
      </c>
      <c r="D11" s="12" t="n">
        <v>1467.06</v>
      </c>
      <c r="E11" t="inlineStr"/>
      <c r="F11" t="inlineStr"/>
    </row>
    <row r="12">
      <c r="A12" t="inlineStr">
        <is>
          <t>POL-1009</t>
        </is>
      </c>
      <c r="B12" t="inlineStr">
        <is>
          <t>יוסי אברהם</t>
        </is>
      </c>
      <c r="C12" t="inlineStr">
        <is>
          <t>P-CAR</t>
        </is>
      </c>
      <c r="D12" s="12" t="n">
        <v>689.53</v>
      </c>
      <c r="E12" t="inlineStr"/>
      <c r="F12" t="inlineStr"/>
    </row>
    <row r="13">
      <c r="A13" t="inlineStr">
        <is>
          <t>POL-1010</t>
        </is>
      </c>
      <c r="B13" t="inlineStr">
        <is>
          <t>יוסי אברהם</t>
        </is>
      </c>
      <c r="C13" t="inlineStr">
        <is>
          <t>P-LIFE</t>
        </is>
      </c>
      <c r="D13" s="12" t="n">
        <v>2835.65</v>
      </c>
      <c r="E13" t="inlineStr"/>
      <c r="F13" t="inlineStr"/>
    </row>
    <row r="14">
      <c r="A14" t="inlineStr">
        <is>
          <t>POL-1011</t>
        </is>
      </c>
      <c r="B14" t="inlineStr">
        <is>
          <t xml:space="preserve">  דוד לוי  </t>
        </is>
      </c>
      <c r="C14" t="inlineStr">
        <is>
          <t>P-PET</t>
        </is>
      </c>
      <c r="D14" s="12" t="n">
        <v>2229.58</v>
      </c>
      <c r="E14" t="inlineStr"/>
      <c r="F14" t="inlineStr"/>
    </row>
    <row r="15">
      <c r="A15" t="inlineStr">
        <is>
          <t>POL-1012</t>
        </is>
      </c>
      <c r="B15" t="inlineStr">
        <is>
          <t>רונית שמעוני</t>
        </is>
      </c>
      <c r="C15" t="inlineStr">
        <is>
          <t>P-CAR</t>
        </is>
      </c>
      <c r="D15" s="12" t="n">
        <v>2618.57</v>
      </c>
      <c r="E15" t="inlineStr"/>
      <c r="F15" t="inlineStr"/>
    </row>
    <row r="16">
      <c r="A16" t="inlineStr">
        <is>
          <t>POL-1013</t>
        </is>
      </c>
      <c r="B16" t="inlineStr">
        <is>
          <t>אבי מזרחי</t>
        </is>
      </c>
      <c r="C16" t="inlineStr">
        <is>
          <t>P-LIFE</t>
        </is>
      </c>
      <c r="D16" s="12" t="n">
        <v>-150</v>
      </c>
      <c r="E16" t="inlineStr"/>
      <c r="F16" t="inlineStr"/>
    </row>
    <row r="17">
      <c r="A17" t="inlineStr">
        <is>
          <t>POL-1014</t>
        </is>
      </c>
      <c r="B17" t="inlineStr">
        <is>
          <t>דוד לוי</t>
        </is>
      </c>
      <c r="C17" t="inlineStr">
        <is>
          <t>P-CAR</t>
        </is>
      </c>
      <c r="D17" s="12" t="n">
        <v>3077.31</v>
      </c>
      <c r="E17" t="inlineStr"/>
      <c r="F17" t="inlineStr"/>
    </row>
    <row r="18">
      <c r="A18" t="inlineStr">
        <is>
          <t>POL-1015</t>
        </is>
      </c>
      <c r="B18" t="inlineStr">
        <is>
          <t>יוסי אברהם</t>
        </is>
      </c>
      <c r="C18" t="inlineStr">
        <is>
          <t>P-CAR</t>
        </is>
      </c>
      <c r="D18" s="12" t="n">
        <v>3892.33</v>
      </c>
      <c r="E18" t="inlineStr"/>
      <c r="F18" t="inlineStr"/>
    </row>
    <row r="19">
      <c r="A19" t="inlineStr">
        <is>
          <t>POL-1016</t>
        </is>
      </c>
      <c r="B19" t="inlineStr">
        <is>
          <t xml:space="preserve">  דוד לוי  </t>
        </is>
      </c>
      <c r="C19" t="inlineStr">
        <is>
          <t>P-HEALTH</t>
        </is>
      </c>
      <c r="D19" s="12" t="n">
        <v>1467.49</v>
      </c>
      <c r="E19" t="inlineStr"/>
      <c r="F19" t="inlineStr"/>
    </row>
    <row r="20">
      <c r="A20" t="inlineStr">
        <is>
          <t>POL-1017</t>
        </is>
      </c>
      <c r="B20" t="inlineStr">
        <is>
          <t>יוסי אברהם</t>
        </is>
      </c>
      <c r="C20" t="inlineStr">
        <is>
          <t>P-HOME</t>
        </is>
      </c>
      <c r="D20" s="12" t="n">
        <v>1854.76</v>
      </c>
      <c r="E20" t="inlineStr"/>
      <c r="F20" t="inlineStr"/>
    </row>
    <row r="21">
      <c r="A21" t="inlineStr">
        <is>
          <t>POL-1018</t>
        </is>
      </c>
      <c r="B21" t="inlineStr">
        <is>
          <t>יוסי אברהם</t>
        </is>
      </c>
      <c r="C21" t="inlineStr">
        <is>
          <t>P-PET</t>
        </is>
      </c>
      <c r="D21" s="12" t="n">
        <v>4233.95</v>
      </c>
      <c r="E21" t="inlineStr"/>
      <c r="F21" t="inlineStr"/>
    </row>
    <row r="22">
      <c r="A22" t="inlineStr">
        <is>
          <t>POL-1019</t>
        </is>
      </c>
      <c r="B22" t="inlineStr">
        <is>
          <t>דוד לוי</t>
        </is>
      </c>
      <c r="C22" t="inlineStr">
        <is>
          <t>P-TRAVEL</t>
        </is>
      </c>
      <c r="D22" s="12" t="n">
        <v>2966.91</v>
      </c>
      <c r="E22" t="inlineStr"/>
      <c r="F22" t="inlineStr"/>
    </row>
    <row r="23">
      <c r="A23" t="inlineStr">
        <is>
          <t>POL-1020</t>
        </is>
      </c>
      <c r="B23" t="inlineStr">
        <is>
          <t>מיכל כהן</t>
        </is>
      </c>
      <c r="C23" t="inlineStr">
        <is>
          <t>P-HOME</t>
        </is>
      </c>
      <c r="D23" s="12" t="n">
        <v>2241.49</v>
      </c>
      <c r="E23" t="inlineStr"/>
      <c r="F23" t="inlineStr"/>
    </row>
    <row r="24">
      <c r="A24" t="inlineStr">
        <is>
          <t>POL-1021</t>
        </is>
      </c>
      <c r="B24" t="inlineStr">
        <is>
          <t xml:space="preserve">  אבי מזרחי  </t>
        </is>
      </c>
      <c r="C24" t="inlineStr">
        <is>
          <t>P-HOME</t>
        </is>
      </c>
      <c r="D24" s="12" t="n">
        <v>3175.38</v>
      </c>
      <c r="E24" t="inlineStr"/>
      <c r="F24" t="inlineStr"/>
    </row>
    <row r="25">
      <c r="A25" t="inlineStr">
        <is>
          <t>POL-1022</t>
        </is>
      </c>
      <c r="B25" t="inlineStr">
        <is>
          <t>דוד לוי</t>
        </is>
      </c>
      <c r="C25" t="inlineStr">
        <is>
          <t>P-HOME</t>
        </is>
      </c>
      <c r="D25" s="12" t="n">
        <v>3751.57</v>
      </c>
      <c r="E25" t="inlineStr"/>
      <c r="F25" t="inlineStr"/>
    </row>
    <row r="26">
      <c r="A26" t="inlineStr">
        <is>
          <t>POL-1004</t>
        </is>
      </c>
      <c r="B26" t="inlineStr">
        <is>
          <t>יוסי אברהם</t>
        </is>
      </c>
      <c r="C26" t="inlineStr">
        <is>
          <t>P-HEALTH</t>
        </is>
      </c>
      <c r="D26" s="12" t="n">
        <v>1424.51</v>
      </c>
      <c r="E26" t="inlineStr"/>
      <c r="F26" t="inlineStr"/>
    </row>
    <row r="27">
      <c r="A27" t="inlineStr">
        <is>
          <t>POL-1024</t>
        </is>
      </c>
      <c r="B27" t="inlineStr">
        <is>
          <t>אבי מזרחי</t>
        </is>
      </c>
      <c r="C27" t="inlineStr">
        <is>
          <t>P-PET</t>
        </is>
      </c>
      <c r="D27" s="12" t="n">
        <v>1621.65</v>
      </c>
      <c r="E27" t="inlineStr"/>
      <c r="F27" t="inlineStr"/>
    </row>
    <row r="28">
      <c r="A28" t="inlineStr">
        <is>
          <t>POL-1025</t>
        </is>
      </c>
      <c r="B28" t="inlineStr">
        <is>
          <t>רונית שמעוני</t>
        </is>
      </c>
      <c r="C28" t="inlineStr">
        <is>
          <t>P-HEALTH</t>
        </is>
      </c>
      <c r="D28" s="12" t="n">
        <v>4015.67</v>
      </c>
      <c r="E28" t="inlineStr"/>
      <c r="F28" t="inlineStr"/>
    </row>
    <row r="29">
      <c r="A29" t="inlineStr">
        <is>
          <t>POL-1026</t>
        </is>
      </c>
      <c r="B29" t="inlineStr">
        <is>
          <t xml:space="preserve">  רונית שמעוני  </t>
        </is>
      </c>
      <c r="C29" t="inlineStr">
        <is>
          <t>P-HOME</t>
        </is>
      </c>
      <c r="D29" s="12" t="n">
        <v>1412.5</v>
      </c>
      <c r="E29" t="inlineStr"/>
      <c r="F29" t="inlineStr"/>
    </row>
    <row r="30">
      <c r="A30" t="inlineStr">
        <is>
          <t>POL-1027</t>
        </is>
      </c>
      <c r="B30" t="inlineStr">
        <is>
          <t>אבי מזרחי</t>
        </is>
      </c>
      <c r="C30" t="inlineStr">
        <is>
          <t>P-TRAVEL</t>
        </is>
      </c>
      <c r="D30" s="12" t="n">
        <v>1403.51</v>
      </c>
      <c r="E30" t="inlineStr"/>
      <c r="F30" t="inlineStr"/>
    </row>
    <row r="31">
      <c r="A31" t="inlineStr">
        <is>
          <t>POL-1028</t>
        </is>
      </c>
      <c r="B31" t="inlineStr">
        <is>
          <t>רונית שמעוני</t>
        </is>
      </c>
      <c r="C31" t="inlineStr">
        <is>
          <t>P-TRAVEL</t>
        </is>
      </c>
      <c r="D31" s="12" t="n">
        <v>1977.48</v>
      </c>
      <c r="E31" t="inlineStr"/>
      <c r="F31" t="inlineStr"/>
    </row>
    <row r="32">
      <c r="A32" t="inlineStr">
        <is>
          <t>POL-1029</t>
        </is>
      </c>
      <c r="B32" t="inlineStr">
        <is>
          <t>מיכל כהן</t>
        </is>
      </c>
      <c r="C32" t="inlineStr">
        <is>
          <t>P-TRAVEL</t>
        </is>
      </c>
      <c r="D32" s="12" t="n">
        <v>2372.77</v>
      </c>
      <c r="E32" t="inlineStr"/>
      <c r="F32" t="inlineStr"/>
    </row>
    <row r="33">
      <c r="A33" t="inlineStr">
        <is>
          <t>POL-1030</t>
        </is>
      </c>
      <c r="B33" t="inlineStr">
        <is>
          <t>דוד לוי</t>
        </is>
      </c>
      <c r="C33" t="inlineStr">
        <is>
          <t>P-CAR</t>
        </is>
      </c>
      <c r="D33" s="12" t="n">
        <v>941.9299999999999</v>
      </c>
      <c r="E33" t="inlineStr"/>
      <c r="F33" t="inlineStr"/>
    </row>
    <row r="34">
      <c r="A34" t="inlineStr">
        <is>
          <t>POL-1031</t>
        </is>
      </c>
      <c r="B34" t="inlineStr">
        <is>
          <t xml:space="preserve">  רונית שמעוני  </t>
        </is>
      </c>
      <c r="C34" t="inlineStr">
        <is>
          <t>P-TRAVEL</t>
        </is>
      </c>
      <c r="D34" s="12" t="n">
        <v>566.8200000000001</v>
      </c>
      <c r="E34" t="inlineStr"/>
      <c r="F34" t="inlineStr"/>
    </row>
    <row r="35">
      <c r="A35" t="inlineStr">
        <is>
          <t>POL-1032</t>
        </is>
      </c>
      <c r="B35" t="inlineStr">
        <is>
          <t>אבי מזרחי</t>
        </is>
      </c>
      <c r="C35" t="inlineStr">
        <is>
          <t>P-HEALTH</t>
        </is>
      </c>
      <c r="D35" s="12" t="n">
        <v>2522.28</v>
      </c>
      <c r="E35" t="inlineStr"/>
      <c r="F35" t="inlineStr"/>
    </row>
    <row r="36">
      <c r="A36" t="inlineStr">
        <is>
          <t>POL-1033</t>
        </is>
      </c>
      <c r="B36" t="inlineStr">
        <is>
          <t>דוד לוי</t>
        </is>
      </c>
      <c r="C36" t="inlineStr">
        <is>
          <t>P-PET</t>
        </is>
      </c>
      <c r="D36" s="12" t="n">
        <v>3327.03</v>
      </c>
      <c r="E36" t="inlineStr"/>
      <c r="F36" t="inlineStr"/>
    </row>
    <row r="37">
      <c r="A37" t="inlineStr">
        <is>
          <t>POL-1034</t>
        </is>
      </c>
      <c r="B37" t="inlineStr">
        <is>
          <t>אבי מזרחי</t>
        </is>
      </c>
      <c r="C37" t="inlineStr">
        <is>
          <t>P-LIFE</t>
        </is>
      </c>
      <c r="D37" s="12" t="n">
        <v>3528.11</v>
      </c>
      <c r="E37" t="inlineStr"/>
      <c r="F37" t="inlineStr"/>
    </row>
    <row r="38">
      <c r="A38" t="inlineStr">
        <is>
          <t>POL-1035</t>
        </is>
      </c>
      <c r="B38" t="inlineStr">
        <is>
          <t>דוד לוי</t>
        </is>
      </c>
      <c r="C38" t="inlineStr">
        <is>
          <t>P-LIFE</t>
        </is>
      </c>
      <c r="D38" s="12" t="n">
        <v>2126.01</v>
      </c>
      <c r="E38" t="inlineStr"/>
      <c r="F38" t="inlineStr"/>
    </row>
    <row r="39">
      <c r="A39" t="inlineStr">
        <is>
          <t>POL-1036</t>
        </is>
      </c>
      <c r="B39" t="inlineStr">
        <is>
          <t xml:space="preserve">  דוד לוי  </t>
        </is>
      </c>
      <c r="C39" t="inlineStr">
        <is>
          <t>P-PET</t>
        </is>
      </c>
      <c r="D39" s="12" t="n">
        <v>3978.58</v>
      </c>
      <c r="E39" t="inlineStr"/>
      <c r="F39" t="inlineStr"/>
    </row>
    <row r="40">
      <c r="A40" t="inlineStr">
        <is>
          <t>POL-1037</t>
        </is>
      </c>
      <c r="B40" t="inlineStr">
        <is>
          <t>אבי מזרחי</t>
        </is>
      </c>
      <c r="C40" t="inlineStr">
        <is>
          <t>P-HOME</t>
        </is>
      </c>
      <c r="D40" s="12" t="n">
        <v>2432.26</v>
      </c>
      <c r="E40" t="inlineStr"/>
      <c r="F40" t="inlineStr"/>
    </row>
    <row r="41">
      <c r="A41" t="inlineStr">
        <is>
          <t>POL-1038</t>
        </is>
      </c>
      <c r="B41" t="inlineStr">
        <is>
          <t>יוסי אברהם</t>
        </is>
      </c>
      <c r="C41" t="inlineStr">
        <is>
          <t>P-PET</t>
        </is>
      </c>
      <c r="D41" s="12" t="n">
        <v>2432.18</v>
      </c>
      <c r="E41" t="inlineStr"/>
      <c r="F41" t="inlineStr"/>
    </row>
    <row r="42">
      <c r="A42" t="inlineStr">
        <is>
          <t>POL-1039</t>
        </is>
      </c>
      <c r="B42" t="inlineStr">
        <is>
          <t>מיכל כהן</t>
        </is>
      </c>
      <c r="C42" t="inlineStr">
        <is>
          <t>P-LIFE</t>
        </is>
      </c>
      <c r="D42" s="12" t="n">
        <v>3502.55</v>
      </c>
      <c r="E42" t="inlineStr"/>
      <c r="F42" t="inlineStr"/>
    </row>
    <row r="43">
      <c r="A43" t="inlineStr">
        <is>
          <t>POL-1040</t>
        </is>
      </c>
      <c r="B43" t="inlineStr">
        <is>
          <t>אבי מזרחי</t>
        </is>
      </c>
      <c r="C43" t="inlineStr">
        <is>
          <t>P-CAR</t>
        </is>
      </c>
      <c r="D43" s="12" t="n">
        <v>2815.57</v>
      </c>
      <c r="E43" t="inlineStr"/>
      <c r="F43" t="inlineStr"/>
    </row>
    <row r="45">
      <c r="A45" s="8" t="inlineStr">
        <is>
          <t>משימה 1: בעמודה E נקו את שם הסוכן עם TRIM ו-PROPER, למשל: =PROPER(TRIM(B4))</t>
        </is>
      </c>
    </row>
    <row r="46">
      <c r="A46" s="8" t="inlineStr">
        <is>
          <t>משימה 2: בעמודה F סמנו 'כפול' אם מספר הפוליסה מופיע יותר מפעם אחת: =IF(COUNTIF($A$4:$A$43,A4)&gt;1,"כפול","ייחודי")</t>
        </is>
      </c>
    </row>
  </sheetData>
  <mergeCells count="3">
    <mergeCell ref="A45:F45"/>
    <mergeCell ref="A1:F1"/>
    <mergeCell ref="A46:F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18" customWidth="1" min="5" max="5"/>
    <col width="4" customWidth="1" min="6" max="6"/>
    <col width="12" customWidth="1" min="7" max="7"/>
    <col width="16" customWidth="1" min="8" max="8"/>
    <col width="4" customWidth="1" min="9" max="9"/>
    <col width="12" customWidth="1" min="10" max="10"/>
    <col width="14" customWidth="1" min="11" max="11"/>
  </cols>
  <sheetData>
    <row r="1">
      <c r="A1" s="1" t="inlineStr">
        <is>
          <t>פרק 4 — VLOOKUP / INDEX-MATCH מול טבלאות ייחוס</t>
        </is>
      </c>
    </row>
    <row r="3">
      <c r="A3" s="6" t="inlineStr">
        <is>
          <t>מספר פוליסה</t>
        </is>
      </c>
      <c r="B3" s="6" t="inlineStr">
        <is>
          <t>קוד מוצר</t>
        </is>
      </c>
      <c r="C3" s="6" t="inlineStr">
        <is>
          <t>שם מוצר (המשימה שלך)</t>
        </is>
      </c>
      <c r="D3" s="6" t="inlineStr">
        <is>
          <t>קוד סוכן</t>
        </is>
      </c>
      <c r="E3" s="6" t="inlineStr">
        <is>
          <t>שם סוכן (המשימה שלך)</t>
        </is>
      </c>
      <c r="H3" s="4" t="inlineStr">
        <is>
          <t>טבלת ייחוס — מוצרים</t>
        </is>
      </c>
      <c r="K3" s="4" t="inlineStr">
        <is>
          <t>טבלת ייחוס — סוכנים</t>
        </is>
      </c>
    </row>
    <row r="4">
      <c r="A4" t="inlineStr">
        <is>
          <t>POL-1001</t>
        </is>
      </c>
      <c r="B4" t="inlineStr">
        <is>
          <t>P-CAR</t>
        </is>
      </c>
      <c r="C4" t="inlineStr"/>
      <c r="D4" t="inlineStr">
        <is>
          <t>A101</t>
        </is>
      </c>
      <c r="E4" t="inlineStr"/>
      <c r="H4" s="6" t="inlineStr">
        <is>
          <t>קוד מוצר</t>
        </is>
      </c>
      <c r="I4" s="6" t="inlineStr">
        <is>
          <t>שם מוצר</t>
        </is>
      </c>
      <c r="K4" s="6" t="inlineStr">
        <is>
          <t>קוד סוכן</t>
        </is>
      </c>
      <c r="L4" s="6" t="inlineStr">
        <is>
          <t>שם סוכן</t>
        </is>
      </c>
    </row>
    <row r="5">
      <c r="A5" t="inlineStr">
        <is>
          <t>POL-1002</t>
        </is>
      </c>
      <c r="B5" t="inlineStr">
        <is>
          <t>P-HOME</t>
        </is>
      </c>
      <c r="C5" t="inlineStr"/>
      <c r="D5" t="inlineStr">
        <is>
          <t>A102</t>
        </is>
      </c>
      <c r="E5" t="inlineStr"/>
      <c r="H5" t="inlineStr">
        <is>
          <t>P-CAR</t>
        </is>
      </c>
      <c r="I5" t="inlineStr">
        <is>
          <t>ביטוח רכב</t>
        </is>
      </c>
      <c r="K5" t="inlineStr">
        <is>
          <t>A101</t>
        </is>
      </c>
      <c r="L5" t="inlineStr">
        <is>
          <t>דוד לוי</t>
        </is>
      </c>
    </row>
    <row r="6">
      <c r="A6" t="inlineStr">
        <is>
          <t>POL-1003</t>
        </is>
      </c>
      <c r="B6" t="inlineStr">
        <is>
          <t>P-CAR</t>
        </is>
      </c>
      <c r="C6" t="inlineStr"/>
      <c r="D6" t="inlineStr">
        <is>
          <t>A105</t>
        </is>
      </c>
      <c r="E6" t="inlineStr"/>
      <c r="H6" t="inlineStr">
        <is>
          <t>P-HOME</t>
        </is>
      </c>
      <c r="I6" t="inlineStr">
        <is>
          <t>ביטוח דירה</t>
        </is>
      </c>
      <c r="K6" t="inlineStr">
        <is>
          <t>A102</t>
        </is>
      </c>
      <c r="L6" t="inlineStr">
        <is>
          <t>מיכל כהן</t>
        </is>
      </c>
    </row>
    <row r="7">
      <c r="A7" t="inlineStr">
        <is>
          <t>POL-1004</t>
        </is>
      </c>
      <c r="B7" t="inlineStr">
        <is>
          <t>P-CAR</t>
        </is>
      </c>
      <c r="C7" t="inlineStr"/>
      <c r="D7" t="inlineStr">
        <is>
          <t>A101</t>
        </is>
      </c>
      <c r="E7" t="inlineStr"/>
      <c r="H7" t="inlineStr">
        <is>
          <t>P-LIFE</t>
        </is>
      </c>
      <c r="I7" t="inlineStr">
        <is>
          <t>ביטוח חיים</t>
        </is>
      </c>
      <c r="K7" t="inlineStr">
        <is>
          <t>A103</t>
        </is>
      </c>
      <c r="L7" t="inlineStr">
        <is>
          <t>יוסי אברהם</t>
        </is>
      </c>
    </row>
    <row r="8">
      <c r="A8" t="inlineStr">
        <is>
          <t>POL-1005</t>
        </is>
      </c>
      <c r="B8" t="inlineStr">
        <is>
          <t>P-CAR</t>
        </is>
      </c>
      <c r="C8" t="inlineStr"/>
      <c r="D8" t="inlineStr">
        <is>
          <t>A105</t>
        </is>
      </c>
      <c r="E8" t="inlineStr"/>
      <c r="H8" t="inlineStr">
        <is>
          <t>P-HEALTH</t>
        </is>
      </c>
      <c r="I8" t="inlineStr">
        <is>
          <t>ביטוח בריאות</t>
        </is>
      </c>
      <c r="K8" t="inlineStr">
        <is>
          <t>A104</t>
        </is>
      </c>
      <c r="L8" t="inlineStr">
        <is>
          <t>רונית שמעוני</t>
        </is>
      </c>
    </row>
    <row r="9">
      <c r="A9" t="inlineStr">
        <is>
          <t>POL-1006</t>
        </is>
      </c>
      <c r="B9" t="inlineStr">
        <is>
          <t>P-HEALTH</t>
        </is>
      </c>
      <c r="C9" t="inlineStr"/>
      <c r="D9" t="inlineStr">
        <is>
          <t>A105</t>
        </is>
      </c>
      <c r="E9" t="inlineStr"/>
      <c r="H9" t="inlineStr">
        <is>
          <t>P-TRAVEL</t>
        </is>
      </c>
      <c r="I9" t="inlineStr">
        <is>
          <t>ביטוח נסיעות</t>
        </is>
      </c>
      <c r="K9" t="inlineStr">
        <is>
          <t>A105</t>
        </is>
      </c>
      <c r="L9" t="inlineStr">
        <is>
          <t>אבי מזרחי</t>
        </is>
      </c>
    </row>
    <row r="10">
      <c r="A10" t="inlineStr">
        <is>
          <t>POL-1007</t>
        </is>
      </c>
      <c r="B10" t="inlineStr">
        <is>
          <t>P-CAR</t>
        </is>
      </c>
      <c r="C10" t="inlineStr"/>
      <c r="D10" t="inlineStr">
        <is>
          <t>A103</t>
        </is>
      </c>
      <c r="E10" t="inlineStr"/>
    </row>
    <row r="11">
      <c r="A11" t="inlineStr">
        <is>
          <t>POL-1004</t>
        </is>
      </c>
      <c r="B11" t="inlineStr">
        <is>
          <t>P-LIFE</t>
        </is>
      </c>
      <c r="C11" t="inlineStr"/>
      <c r="D11" t="inlineStr">
        <is>
          <t>A104</t>
        </is>
      </c>
      <c r="E11" t="inlineStr"/>
    </row>
    <row r="12">
      <c r="A12" t="inlineStr">
        <is>
          <t>POL-1009</t>
        </is>
      </c>
      <c r="B12" t="inlineStr">
        <is>
          <t>P-CAR</t>
        </is>
      </c>
      <c r="C12" t="inlineStr"/>
      <c r="D12" t="inlineStr">
        <is>
          <t>A103</t>
        </is>
      </c>
      <c r="E12" t="inlineStr"/>
    </row>
    <row r="13">
      <c r="A13" t="inlineStr">
        <is>
          <t>POL-1010</t>
        </is>
      </c>
      <c r="B13" t="inlineStr">
        <is>
          <t>P-LIFE</t>
        </is>
      </c>
      <c r="C13" t="inlineStr"/>
      <c r="D13" t="inlineStr">
        <is>
          <t>A103</t>
        </is>
      </c>
      <c r="E13" t="inlineStr"/>
    </row>
    <row r="14">
      <c r="A14" t="inlineStr">
        <is>
          <t>POL-1011</t>
        </is>
      </c>
      <c r="B14" t="inlineStr">
        <is>
          <t>P-PET</t>
        </is>
      </c>
      <c r="C14" t="inlineStr"/>
      <c r="D14" t="inlineStr">
        <is>
          <t>A101</t>
        </is>
      </c>
      <c r="E14" t="inlineStr"/>
    </row>
    <row r="15">
      <c r="A15" t="inlineStr">
        <is>
          <t>POL-1012</t>
        </is>
      </c>
      <c r="B15" t="inlineStr">
        <is>
          <t>P-CAR</t>
        </is>
      </c>
      <c r="C15" t="inlineStr"/>
      <c r="D15" t="inlineStr">
        <is>
          <t>A104</t>
        </is>
      </c>
      <c r="E15" t="inlineStr"/>
    </row>
    <row r="16">
      <c r="A16" t="inlineStr">
        <is>
          <t>POL-1013</t>
        </is>
      </c>
      <c r="B16" t="inlineStr">
        <is>
          <t>P-LIFE</t>
        </is>
      </c>
      <c r="C16" t="inlineStr"/>
      <c r="D16" t="inlineStr">
        <is>
          <t>A105</t>
        </is>
      </c>
      <c r="E16" t="inlineStr"/>
    </row>
    <row r="17">
      <c r="A17" t="inlineStr">
        <is>
          <t>POL-1014</t>
        </is>
      </c>
      <c r="B17" t="inlineStr">
        <is>
          <t>P-CAR</t>
        </is>
      </c>
      <c r="C17" t="inlineStr"/>
      <c r="D17" t="inlineStr">
        <is>
          <t>A101</t>
        </is>
      </c>
      <c r="E17" t="inlineStr"/>
    </row>
    <row r="18">
      <c r="A18" t="inlineStr">
        <is>
          <t>POL-1015</t>
        </is>
      </c>
      <c r="B18" t="inlineStr">
        <is>
          <t>P-CAR</t>
        </is>
      </c>
      <c r="C18" t="inlineStr"/>
      <c r="D18" t="inlineStr">
        <is>
          <t>A103</t>
        </is>
      </c>
      <c r="E18" t="inlineStr"/>
    </row>
    <row r="19">
      <c r="A19" t="inlineStr">
        <is>
          <t>POL-1016</t>
        </is>
      </c>
      <c r="B19" t="inlineStr">
        <is>
          <t>P-HEALTH</t>
        </is>
      </c>
      <c r="C19" t="inlineStr"/>
      <c r="D19" t="inlineStr">
        <is>
          <t>A101</t>
        </is>
      </c>
      <c r="E19" t="inlineStr"/>
    </row>
    <row r="20">
      <c r="A20" t="inlineStr">
        <is>
          <t>POL-1017</t>
        </is>
      </c>
      <c r="B20" t="inlineStr">
        <is>
          <t>P-HOME</t>
        </is>
      </c>
      <c r="C20" t="inlineStr"/>
      <c r="D20" t="inlineStr">
        <is>
          <t>A103</t>
        </is>
      </c>
      <c r="E20" t="inlineStr"/>
    </row>
    <row r="21">
      <c r="A21" t="inlineStr">
        <is>
          <t>POL-1018</t>
        </is>
      </c>
      <c r="B21" t="inlineStr">
        <is>
          <t>P-PET</t>
        </is>
      </c>
      <c r="C21" t="inlineStr"/>
      <c r="D21" t="inlineStr">
        <is>
          <t>A103</t>
        </is>
      </c>
      <c r="E21" t="inlineStr"/>
    </row>
    <row r="22">
      <c r="A22" t="inlineStr">
        <is>
          <t>POL-1019</t>
        </is>
      </c>
      <c r="B22" t="inlineStr">
        <is>
          <t>P-TRAVEL</t>
        </is>
      </c>
      <c r="C22" t="inlineStr"/>
      <c r="D22" t="inlineStr">
        <is>
          <t>A101</t>
        </is>
      </c>
      <c r="E22" t="inlineStr"/>
    </row>
    <row r="23">
      <c r="A23" t="inlineStr">
        <is>
          <t>POL-1020</t>
        </is>
      </c>
      <c r="B23" t="inlineStr">
        <is>
          <t>P-HOME</t>
        </is>
      </c>
      <c r="C23" t="inlineStr"/>
      <c r="D23" t="inlineStr">
        <is>
          <t>A102</t>
        </is>
      </c>
      <c r="E23" t="inlineStr"/>
    </row>
    <row r="24">
      <c r="A24" t="inlineStr">
        <is>
          <t>POL-1021</t>
        </is>
      </c>
      <c r="B24" t="inlineStr">
        <is>
          <t>P-HOME</t>
        </is>
      </c>
      <c r="C24" t="inlineStr"/>
      <c r="D24" t="inlineStr">
        <is>
          <t>A105</t>
        </is>
      </c>
      <c r="E24" t="inlineStr"/>
    </row>
    <row r="25">
      <c r="A25" t="inlineStr">
        <is>
          <t>POL-1022</t>
        </is>
      </c>
      <c r="B25" t="inlineStr">
        <is>
          <t>P-HOME</t>
        </is>
      </c>
      <c r="C25" t="inlineStr"/>
      <c r="D25" t="inlineStr">
        <is>
          <t>A101</t>
        </is>
      </c>
      <c r="E25" t="inlineStr"/>
    </row>
    <row r="26">
      <c r="A26" t="inlineStr">
        <is>
          <t>POL-1004</t>
        </is>
      </c>
      <c r="B26" t="inlineStr">
        <is>
          <t>P-HEALTH</t>
        </is>
      </c>
      <c r="C26" t="inlineStr"/>
      <c r="D26" t="inlineStr">
        <is>
          <t>A103</t>
        </is>
      </c>
      <c r="E26" t="inlineStr"/>
    </row>
    <row r="27">
      <c r="A27" t="inlineStr">
        <is>
          <t>POL-1024</t>
        </is>
      </c>
      <c r="B27" t="inlineStr">
        <is>
          <t>P-PET</t>
        </is>
      </c>
      <c r="C27" t="inlineStr"/>
      <c r="D27" t="inlineStr">
        <is>
          <t>A105</t>
        </is>
      </c>
      <c r="E27" t="inlineStr"/>
    </row>
    <row r="28">
      <c r="A28" t="inlineStr">
        <is>
          <t>POL-1025</t>
        </is>
      </c>
      <c r="B28" t="inlineStr">
        <is>
          <t>P-HEALTH</t>
        </is>
      </c>
      <c r="C28" t="inlineStr"/>
      <c r="D28" t="inlineStr">
        <is>
          <t>A104</t>
        </is>
      </c>
      <c r="E28" t="inlineStr"/>
    </row>
    <row r="29">
      <c r="A29" t="inlineStr">
        <is>
          <t>POL-1026</t>
        </is>
      </c>
      <c r="B29" t="inlineStr">
        <is>
          <t>P-HOME</t>
        </is>
      </c>
      <c r="C29" t="inlineStr"/>
      <c r="D29" t="inlineStr">
        <is>
          <t>A104</t>
        </is>
      </c>
      <c r="E29" t="inlineStr"/>
    </row>
    <row r="30">
      <c r="A30" t="inlineStr">
        <is>
          <t>POL-1027</t>
        </is>
      </c>
      <c r="B30" t="inlineStr">
        <is>
          <t>P-TRAVEL</t>
        </is>
      </c>
      <c r="C30" t="inlineStr"/>
      <c r="D30" t="inlineStr">
        <is>
          <t>A105</t>
        </is>
      </c>
      <c r="E30" t="inlineStr"/>
    </row>
    <row r="31">
      <c r="A31" t="inlineStr">
        <is>
          <t>POL-1028</t>
        </is>
      </c>
      <c r="B31" t="inlineStr">
        <is>
          <t>P-TRAVEL</t>
        </is>
      </c>
      <c r="C31" t="inlineStr"/>
      <c r="D31" t="inlineStr">
        <is>
          <t>A104</t>
        </is>
      </c>
      <c r="E31" t="inlineStr"/>
    </row>
    <row r="32">
      <c r="A32" t="inlineStr">
        <is>
          <t>POL-1029</t>
        </is>
      </c>
      <c r="B32" t="inlineStr">
        <is>
          <t>P-TRAVEL</t>
        </is>
      </c>
      <c r="C32" t="inlineStr"/>
      <c r="D32" t="inlineStr">
        <is>
          <t>A102</t>
        </is>
      </c>
      <c r="E32" t="inlineStr"/>
    </row>
    <row r="33">
      <c r="A33" t="inlineStr">
        <is>
          <t>POL-1030</t>
        </is>
      </c>
      <c r="B33" t="inlineStr">
        <is>
          <t>P-CAR</t>
        </is>
      </c>
      <c r="C33" t="inlineStr"/>
      <c r="D33" t="inlineStr">
        <is>
          <t>A101</t>
        </is>
      </c>
      <c r="E33" t="inlineStr"/>
    </row>
    <row r="34">
      <c r="A34" t="inlineStr">
        <is>
          <t>POL-1031</t>
        </is>
      </c>
      <c r="B34" t="inlineStr">
        <is>
          <t>P-TRAVEL</t>
        </is>
      </c>
      <c r="C34" t="inlineStr"/>
      <c r="D34" t="inlineStr">
        <is>
          <t>A104</t>
        </is>
      </c>
      <c r="E34" t="inlineStr"/>
    </row>
    <row r="35">
      <c r="A35" t="inlineStr">
        <is>
          <t>POL-1032</t>
        </is>
      </c>
      <c r="B35" t="inlineStr">
        <is>
          <t>P-HEALTH</t>
        </is>
      </c>
      <c r="C35" t="inlineStr"/>
      <c r="D35" t="inlineStr">
        <is>
          <t>A105</t>
        </is>
      </c>
      <c r="E35" t="inlineStr"/>
    </row>
    <row r="36">
      <c r="A36" t="inlineStr">
        <is>
          <t>POL-1033</t>
        </is>
      </c>
      <c r="B36" t="inlineStr">
        <is>
          <t>P-PET</t>
        </is>
      </c>
      <c r="C36" t="inlineStr"/>
      <c r="D36" t="inlineStr">
        <is>
          <t>A101</t>
        </is>
      </c>
      <c r="E36" t="inlineStr"/>
    </row>
    <row r="37">
      <c r="A37" t="inlineStr">
        <is>
          <t>POL-1034</t>
        </is>
      </c>
      <c r="B37" t="inlineStr">
        <is>
          <t>P-LIFE</t>
        </is>
      </c>
      <c r="C37" t="inlineStr"/>
      <c r="D37" t="inlineStr">
        <is>
          <t>A105</t>
        </is>
      </c>
      <c r="E37" t="inlineStr"/>
    </row>
    <row r="38">
      <c r="A38" t="inlineStr">
        <is>
          <t>POL-1035</t>
        </is>
      </c>
      <c r="B38" t="inlineStr">
        <is>
          <t>P-LIFE</t>
        </is>
      </c>
      <c r="C38" t="inlineStr"/>
      <c r="D38" t="inlineStr">
        <is>
          <t>A101</t>
        </is>
      </c>
      <c r="E38" t="inlineStr"/>
    </row>
    <row r="39">
      <c r="A39" t="inlineStr">
        <is>
          <t>POL-1036</t>
        </is>
      </c>
      <c r="B39" t="inlineStr">
        <is>
          <t>P-PET</t>
        </is>
      </c>
      <c r="C39" t="inlineStr"/>
      <c r="D39" t="inlineStr">
        <is>
          <t>A101</t>
        </is>
      </c>
      <c r="E39" t="inlineStr"/>
    </row>
    <row r="40">
      <c r="A40" t="inlineStr">
        <is>
          <t>POL-1037</t>
        </is>
      </c>
      <c r="B40" t="inlineStr">
        <is>
          <t>P-HOME</t>
        </is>
      </c>
      <c r="C40" t="inlineStr"/>
      <c r="D40" t="inlineStr">
        <is>
          <t>A105</t>
        </is>
      </c>
      <c r="E40" t="inlineStr"/>
    </row>
    <row r="41">
      <c r="A41" t="inlineStr">
        <is>
          <t>POL-1038</t>
        </is>
      </c>
      <c r="B41" t="inlineStr">
        <is>
          <t>P-PET</t>
        </is>
      </c>
      <c r="C41" t="inlineStr"/>
      <c r="D41" t="inlineStr">
        <is>
          <t>A103</t>
        </is>
      </c>
      <c r="E41" t="inlineStr"/>
    </row>
    <row r="42">
      <c r="A42" t="inlineStr">
        <is>
          <t>POL-1039</t>
        </is>
      </c>
      <c r="B42" t="inlineStr">
        <is>
          <t>P-LIFE</t>
        </is>
      </c>
      <c r="C42" t="inlineStr"/>
      <c r="D42" t="inlineStr">
        <is>
          <t>A102</t>
        </is>
      </c>
      <c r="E42" t="inlineStr"/>
    </row>
    <row r="43">
      <c r="A43" t="inlineStr">
        <is>
          <t>POL-1040</t>
        </is>
      </c>
      <c r="B43" t="inlineStr">
        <is>
          <t>P-CAR</t>
        </is>
      </c>
      <c r="C43" t="inlineStr"/>
      <c r="D43" t="inlineStr">
        <is>
          <t>A105</t>
        </is>
      </c>
      <c r="E43" t="inlineStr"/>
    </row>
    <row r="45">
      <c r="A45" s="8" t="inlineStr">
        <is>
          <t>משימה 1: בעמודה C משכו את שם המוצר לפי קוד המוצר מהטבלה H:I, למשל: =IFERROR(VLOOKUP(B4,$H$5:$I$9,2,FALSE),"קוד לא קיים")</t>
        </is>
      </c>
    </row>
    <row r="46">
      <c r="A46" s="8" t="inlineStr">
        <is>
          <t>משימה 2: בעמודה E משכו את שם הסוכן לפי קוד הסוכן מהטבלה K:L באמצעות INDEX/MATCH, למשל: =IFERROR(INDEX($L$5:$L$9,MATCH(D4,$K$5:$K$9,0)),"קוד לא קיים")</t>
        </is>
      </c>
    </row>
    <row r="47">
      <c r="A47" s="8" t="inlineStr">
        <is>
          <t>שימו לב: מוצר P-PET לא קיים בטבלת הייחוס בכוונה — אלה בדיוק הרשומות ש'נופלות' בבדיקת קבילות אמיתית.</t>
        </is>
      </c>
    </row>
  </sheetData>
  <mergeCells count="4">
    <mergeCell ref="A45:F45"/>
    <mergeCell ref="A47:F47"/>
    <mergeCell ref="A1:F1"/>
    <mergeCell ref="A46:F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פרק 5 — PivotTable</t>
        </is>
      </c>
    </row>
    <row r="3">
      <c r="A3" s="6" t="inlineStr">
        <is>
          <t>מספר פוליסה</t>
        </is>
      </c>
      <c r="B3" s="6" t="inlineStr">
        <is>
          <t>שם סוכן</t>
        </is>
      </c>
      <c r="C3" s="6" t="inlineStr">
        <is>
          <t>סוג מוצר</t>
        </is>
      </c>
      <c r="D3" s="6" t="inlineStr">
        <is>
          <t>פרמיה (₪)</t>
        </is>
      </c>
      <c r="E3" s="6" t="inlineStr">
        <is>
          <t>תאריך הנפקה</t>
        </is>
      </c>
      <c r="F3" s="6" t="inlineStr">
        <is>
          <t>חודש</t>
        </is>
      </c>
    </row>
    <row r="4">
      <c r="A4" t="inlineStr">
        <is>
          <t>POL-1001</t>
        </is>
      </c>
      <c r="B4" t="inlineStr">
        <is>
          <t>דוד לוי</t>
        </is>
      </c>
      <c r="C4" t="inlineStr">
        <is>
          <t>P-CAR</t>
        </is>
      </c>
      <c r="D4" s="12" t="n">
        <v>3414.51</v>
      </c>
      <c r="E4" s="13" t="n">
        <v>45177</v>
      </c>
      <c r="F4">
        <f>TEXT(E4,"MMM YYYY")</f>
        <v/>
      </c>
    </row>
    <row r="5">
      <c r="A5" t="inlineStr">
        <is>
          <t>POL-1002</t>
        </is>
      </c>
      <c r="B5" t="inlineStr">
        <is>
          <t>מיכל כהן</t>
        </is>
      </c>
      <c r="C5" t="inlineStr">
        <is>
          <t>P-HOME</t>
        </is>
      </c>
      <c r="D5" s="12" t="n">
        <v>3393.18</v>
      </c>
      <c r="E5" s="13" t="n">
        <v>45619</v>
      </c>
      <c r="F5">
        <f>TEXT(E5,"MMM YYYY")</f>
        <v/>
      </c>
    </row>
    <row r="6">
      <c r="A6" t="inlineStr">
        <is>
          <t>POL-1003</t>
        </is>
      </c>
      <c r="B6" t="inlineStr">
        <is>
          <t>אבי מזרחי</t>
        </is>
      </c>
      <c r="C6" t="inlineStr">
        <is>
          <t>P-CAR</t>
        </is>
      </c>
      <c r="D6" s="12" t="n">
        <v>2780.07</v>
      </c>
      <c r="E6" s="13" t="n">
        <v>44959</v>
      </c>
      <c r="F6">
        <f>TEXT(E6,"MMM YYYY")</f>
        <v/>
      </c>
    </row>
    <row r="7">
      <c r="A7" t="inlineStr">
        <is>
          <t>POL-1004</t>
        </is>
      </c>
      <c r="B7" t="inlineStr">
        <is>
          <t>דוד לוי</t>
        </is>
      </c>
      <c r="C7" t="inlineStr">
        <is>
          <t>P-CAR</t>
        </is>
      </c>
      <c r="D7" s="12" t="n">
        <v>1218.28</v>
      </c>
      <c r="E7" s="13" t="n">
        <v>45444</v>
      </c>
      <c r="F7">
        <f>TEXT(E7,"MMM YYYY")</f>
        <v/>
      </c>
    </row>
    <row r="8">
      <c r="A8" t="inlineStr">
        <is>
          <t>POL-1005</t>
        </is>
      </c>
      <c r="B8" t="inlineStr">
        <is>
          <t>אבי מזרחי</t>
        </is>
      </c>
      <c r="C8" t="inlineStr">
        <is>
          <t>P-CAR</t>
        </is>
      </c>
      <c r="D8" s="12" t="n">
        <v>2657.23</v>
      </c>
      <c r="E8" s="13" t="n">
        <v>45660</v>
      </c>
      <c r="F8">
        <f>TEXT(E8,"MMM YYYY")</f>
        <v/>
      </c>
    </row>
    <row r="9">
      <c r="A9" t="inlineStr">
        <is>
          <t>POL-1006</t>
        </is>
      </c>
      <c r="B9" t="inlineStr">
        <is>
          <t>אבי מזרחי</t>
        </is>
      </c>
      <c r="C9" t="inlineStr">
        <is>
          <t>P-HEALTH</t>
        </is>
      </c>
      <c r="D9" s="12" t="n">
        <v>1225.85</v>
      </c>
      <c r="E9" s="13" t="n">
        <v>45530</v>
      </c>
      <c r="F9">
        <f>TEXT(E9,"MMM YYYY")</f>
        <v/>
      </c>
    </row>
    <row r="10">
      <c r="A10" t="inlineStr">
        <is>
          <t>POL-1007</t>
        </is>
      </c>
      <c r="B10" t="inlineStr">
        <is>
          <t>יוסי אברהם</t>
        </is>
      </c>
      <c r="C10" t="inlineStr">
        <is>
          <t>P-CAR</t>
        </is>
      </c>
      <c r="D10" s="12" t="n">
        <v>3486.99</v>
      </c>
      <c r="E10" s="13" t="n">
        <v>45090</v>
      </c>
      <c r="F10">
        <f>TEXT(E10,"MMM YYYY")</f>
        <v/>
      </c>
    </row>
    <row r="11">
      <c r="A11" t="inlineStr">
        <is>
          <t>POL-1004</t>
        </is>
      </c>
      <c r="B11" t="inlineStr">
        <is>
          <t>רונית שמעוני</t>
        </is>
      </c>
      <c r="C11" t="inlineStr">
        <is>
          <t>P-LIFE</t>
        </is>
      </c>
      <c r="D11" s="12" t="n">
        <v>1467.06</v>
      </c>
      <c r="E11" s="13" t="n">
        <v>45147</v>
      </c>
      <c r="F11">
        <f>TEXT(E11,"MMM YYYY")</f>
        <v/>
      </c>
    </row>
    <row r="12">
      <c r="A12" t="inlineStr">
        <is>
          <t>POL-1009</t>
        </is>
      </c>
      <c r="B12" t="inlineStr">
        <is>
          <t>יוסי אברהם</t>
        </is>
      </c>
      <c r="C12" t="inlineStr">
        <is>
          <t>P-CAR</t>
        </is>
      </c>
      <c r="D12" s="12" t="n">
        <v>689.53</v>
      </c>
      <c r="E12" s="13" t="n">
        <v>45026</v>
      </c>
      <c r="F12">
        <f>TEXT(E12,"MMM YYYY")</f>
        <v/>
      </c>
    </row>
    <row r="13">
      <c r="A13" t="inlineStr">
        <is>
          <t>POL-1010</t>
        </is>
      </c>
      <c r="B13" t="inlineStr">
        <is>
          <t>יוסי אברהם</t>
        </is>
      </c>
      <c r="C13" t="inlineStr">
        <is>
          <t>P-LIFE</t>
        </is>
      </c>
      <c r="D13" s="12" t="n">
        <v>2835.65</v>
      </c>
      <c r="E13" s="13" t="n">
        <v>45753</v>
      </c>
      <c r="F13">
        <f>TEXT(E13,"MMM YYYY")</f>
        <v/>
      </c>
    </row>
    <row r="14">
      <c r="A14" t="inlineStr">
        <is>
          <t>POL-1011</t>
        </is>
      </c>
      <c r="B14" t="inlineStr">
        <is>
          <t>דוד לוי</t>
        </is>
      </c>
      <c r="C14" t="inlineStr">
        <is>
          <t>P-PET</t>
        </is>
      </c>
      <c r="D14" s="12" t="n">
        <v>2229.58</v>
      </c>
      <c r="E14" s="13" t="n">
        <v>45054</v>
      </c>
      <c r="F14">
        <f>TEXT(E14,"MMM YYYY")</f>
        <v/>
      </c>
    </row>
    <row r="15">
      <c r="A15" t="inlineStr">
        <is>
          <t>POL-1012</t>
        </is>
      </c>
      <c r="B15" t="inlineStr">
        <is>
          <t>רונית שמעוני</t>
        </is>
      </c>
      <c r="C15" t="inlineStr">
        <is>
          <t>P-CAR</t>
        </is>
      </c>
      <c r="D15" s="12" t="n">
        <v>2618.57</v>
      </c>
      <c r="E15" s="13" t="n">
        <v>45776</v>
      </c>
      <c r="F15">
        <f>TEXT(E15,"MMM YYYY")</f>
        <v/>
      </c>
    </row>
    <row r="16">
      <c r="A16" t="inlineStr">
        <is>
          <t>POL-1013</t>
        </is>
      </c>
      <c r="B16" t="inlineStr">
        <is>
          <t>אבי מזרחי</t>
        </is>
      </c>
      <c r="C16" t="inlineStr">
        <is>
          <t>P-LIFE</t>
        </is>
      </c>
      <c r="D16" s="12" t="n">
        <v>-150</v>
      </c>
      <c r="E16" s="13" t="n">
        <v>45648</v>
      </c>
      <c r="F16">
        <f>TEXT(E16,"MMM YYYY")</f>
        <v/>
      </c>
    </row>
    <row r="17">
      <c r="A17" t="inlineStr">
        <is>
          <t>POL-1014</t>
        </is>
      </c>
      <c r="B17" t="inlineStr">
        <is>
          <t>דוד לוי</t>
        </is>
      </c>
      <c r="C17" t="inlineStr">
        <is>
          <t>P-CAR</t>
        </is>
      </c>
      <c r="D17" s="12" t="n">
        <v>3077.31</v>
      </c>
      <c r="E17" s="13" t="n">
        <v>45718</v>
      </c>
      <c r="F17">
        <f>TEXT(E17,"MMM YYYY")</f>
        <v/>
      </c>
    </row>
    <row r="18">
      <c r="A18" t="inlineStr">
        <is>
          <t>POL-1015</t>
        </is>
      </c>
      <c r="B18" t="inlineStr">
        <is>
          <t>יוסי אברהם</t>
        </is>
      </c>
      <c r="C18" t="inlineStr">
        <is>
          <t>P-CAR</t>
        </is>
      </c>
      <c r="D18" s="12" t="n">
        <v>3892.33</v>
      </c>
      <c r="E18" s="13" t="n">
        <v>45814</v>
      </c>
      <c r="F18">
        <f>TEXT(E18,"MMM YYYY")</f>
        <v/>
      </c>
    </row>
    <row r="19">
      <c r="A19" t="inlineStr">
        <is>
          <t>POL-1016</t>
        </is>
      </c>
      <c r="B19" t="inlineStr">
        <is>
          <t>דוד לוי</t>
        </is>
      </c>
      <c r="C19" t="inlineStr">
        <is>
          <t>P-HEALTH</t>
        </is>
      </c>
      <c r="D19" s="12" t="n">
        <v>1467.49</v>
      </c>
      <c r="E19" s="13" t="n">
        <v>45577</v>
      </c>
      <c r="F19">
        <f>TEXT(E19,"MMM YYYY")</f>
        <v/>
      </c>
    </row>
    <row r="20">
      <c r="A20" t="inlineStr">
        <is>
          <t>POL-1017</t>
        </is>
      </c>
      <c r="B20" t="inlineStr">
        <is>
          <t>יוסי אברהם</t>
        </is>
      </c>
      <c r="C20" t="inlineStr">
        <is>
          <t>P-HOME</t>
        </is>
      </c>
      <c r="D20" s="12" t="n">
        <v>1854.76</v>
      </c>
      <c r="E20" s="13" t="n">
        <v>45141</v>
      </c>
      <c r="F20">
        <f>TEXT(E20,"MMM YYYY")</f>
        <v/>
      </c>
    </row>
    <row r="21">
      <c r="A21" t="inlineStr">
        <is>
          <t>POL-1018</t>
        </is>
      </c>
      <c r="B21" t="inlineStr">
        <is>
          <t>יוסי אברהם</t>
        </is>
      </c>
      <c r="C21" t="inlineStr">
        <is>
          <t>P-PET</t>
        </is>
      </c>
      <c r="D21" s="12" t="n">
        <v>4233.95</v>
      </c>
      <c r="E21" s="13" t="n">
        <v>45590</v>
      </c>
      <c r="F21">
        <f>TEXT(E21,"MMM YYYY")</f>
        <v/>
      </c>
    </row>
    <row r="22">
      <c r="A22" t="inlineStr">
        <is>
          <t>POL-1019</t>
        </is>
      </c>
      <c r="B22" t="inlineStr">
        <is>
          <t>דוד לוי</t>
        </is>
      </c>
      <c r="C22" t="inlineStr">
        <is>
          <t>P-TRAVEL</t>
        </is>
      </c>
      <c r="D22" s="12" t="n">
        <v>2966.91</v>
      </c>
      <c r="E22" s="13" t="n">
        <v>45473</v>
      </c>
      <c r="F22">
        <f>TEXT(E22,"MMM YYYY")</f>
        <v/>
      </c>
    </row>
    <row r="23">
      <c r="A23" t="inlineStr">
        <is>
          <t>POL-1020</t>
        </is>
      </c>
      <c r="B23" t="inlineStr">
        <is>
          <t>מיכל כהן</t>
        </is>
      </c>
      <c r="C23" t="inlineStr">
        <is>
          <t>P-HOME</t>
        </is>
      </c>
      <c r="D23" s="12" t="n">
        <v>2241.49</v>
      </c>
      <c r="E23" s="13" t="n">
        <v>45203</v>
      </c>
      <c r="F23">
        <f>TEXT(E23,"MMM YYYY")</f>
        <v/>
      </c>
    </row>
    <row r="24">
      <c r="A24" t="inlineStr">
        <is>
          <t>POL-1021</t>
        </is>
      </c>
      <c r="B24" t="inlineStr">
        <is>
          <t>אבי מזרחי</t>
        </is>
      </c>
      <c r="C24" t="inlineStr">
        <is>
          <t>P-HOME</t>
        </is>
      </c>
      <c r="D24" s="12" t="n">
        <v>3175.38</v>
      </c>
      <c r="E24" s="13" t="n">
        <v>45790</v>
      </c>
      <c r="F24">
        <f>TEXT(E24,"MMM YYYY")</f>
        <v/>
      </c>
    </row>
    <row r="25">
      <c r="A25" t="inlineStr">
        <is>
          <t>POL-1022</t>
        </is>
      </c>
      <c r="B25" t="inlineStr">
        <is>
          <t>דוד לוי</t>
        </is>
      </c>
      <c r="C25" t="inlineStr">
        <is>
          <t>P-HOME</t>
        </is>
      </c>
      <c r="D25" s="12" t="n">
        <v>3751.57</v>
      </c>
      <c r="E25" s="13" t="n">
        <v>45751</v>
      </c>
      <c r="F25">
        <f>TEXT(E25,"MMM YYYY")</f>
        <v/>
      </c>
    </row>
    <row r="26">
      <c r="A26" t="inlineStr">
        <is>
          <t>POL-1004</t>
        </is>
      </c>
      <c r="B26" t="inlineStr">
        <is>
          <t>יוסי אברהם</t>
        </is>
      </c>
      <c r="C26" t="inlineStr">
        <is>
          <t>P-HEALTH</t>
        </is>
      </c>
      <c r="D26" s="12" t="n">
        <v>1424.51</v>
      </c>
      <c r="E26" s="13" t="n">
        <v>45143</v>
      </c>
      <c r="F26">
        <f>TEXT(E26,"MMM YYYY")</f>
        <v/>
      </c>
    </row>
    <row r="27">
      <c r="A27" t="inlineStr">
        <is>
          <t>POL-1024</t>
        </is>
      </c>
      <c r="B27" t="inlineStr">
        <is>
          <t>אבי מזרחי</t>
        </is>
      </c>
      <c r="C27" t="inlineStr">
        <is>
          <t>P-PET</t>
        </is>
      </c>
      <c r="D27" s="12" t="n">
        <v>1621.65</v>
      </c>
      <c r="E27" s="13" t="n">
        <v>45598</v>
      </c>
      <c r="F27">
        <f>TEXT(E27,"MMM YYYY")</f>
        <v/>
      </c>
    </row>
    <row r="28">
      <c r="A28" t="inlineStr">
        <is>
          <t>POL-1025</t>
        </is>
      </c>
      <c r="B28" t="inlineStr">
        <is>
          <t>רונית שמעוני</t>
        </is>
      </c>
      <c r="C28" t="inlineStr">
        <is>
          <t>P-HEALTH</t>
        </is>
      </c>
      <c r="D28" s="12" t="n">
        <v>4015.67</v>
      </c>
      <c r="E28" s="13" t="n">
        <v>45585</v>
      </c>
      <c r="F28">
        <f>TEXT(E28,"MMM YYYY")</f>
        <v/>
      </c>
    </row>
    <row r="29">
      <c r="A29" t="inlineStr">
        <is>
          <t>POL-1026</t>
        </is>
      </c>
      <c r="B29" t="inlineStr">
        <is>
          <t>רונית שמעוני</t>
        </is>
      </c>
      <c r="C29" t="inlineStr">
        <is>
          <t>P-HOME</t>
        </is>
      </c>
      <c r="D29" s="12" t="n">
        <v>1412.5</v>
      </c>
      <c r="E29" s="13" t="n">
        <v>45179</v>
      </c>
      <c r="F29">
        <f>TEXT(E29,"MMM YYYY")</f>
        <v/>
      </c>
    </row>
    <row r="30">
      <c r="A30" t="inlineStr">
        <is>
          <t>POL-1027</t>
        </is>
      </c>
      <c r="B30" t="inlineStr">
        <is>
          <t>אבי מזרחי</t>
        </is>
      </c>
      <c r="C30" t="inlineStr">
        <is>
          <t>P-TRAVEL</t>
        </is>
      </c>
      <c r="D30" s="12" t="n">
        <v>1403.51</v>
      </c>
      <c r="E30" s="13" t="n">
        <v>45525</v>
      </c>
      <c r="F30">
        <f>TEXT(E30,"MMM YYYY")</f>
        <v/>
      </c>
    </row>
    <row r="31">
      <c r="A31" t="inlineStr">
        <is>
          <t>POL-1028</t>
        </is>
      </c>
      <c r="B31" t="inlineStr">
        <is>
          <t>רונית שמעוני</t>
        </is>
      </c>
      <c r="C31" t="inlineStr">
        <is>
          <t>P-TRAVEL</t>
        </is>
      </c>
      <c r="D31" s="12" t="n">
        <v>1977.48</v>
      </c>
      <c r="E31" s="13" t="n">
        <v>45151</v>
      </c>
      <c r="F31">
        <f>TEXT(E31,"MMM YYYY")</f>
        <v/>
      </c>
    </row>
    <row r="32">
      <c r="A32" t="inlineStr">
        <is>
          <t>POL-1029</t>
        </is>
      </c>
      <c r="B32" t="inlineStr">
        <is>
          <t>מיכל כהן</t>
        </is>
      </c>
      <c r="C32" t="inlineStr">
        <is>
          <t>P-TRAVEL</t>
        </is>
      </c>
      <c r="D32" s="12" t="n">
        <v>2372.77</v>
      </c>
      <c r="E32" s="13" t="n">
        <v>45700</v>
      </c>
      <c r="F32">
        <f>TEXT(E32,"MMM YYYY")</f>
        <v/>
      </c>
    </row>
    <row r="33">
      <c r="A33" t="inlineStr">
        <is>
          <t>POL-1030</t>
        </is>
      </c>
      <c r="B33" t="inlineStr">
        <is>
          <t>דוד לוי</t>
        </is>
      </c>
      <c r="C33" t="inlineStr">
        <is>
          <t>P-CAR</t>
        </is>
      </c>
      <c r="D33" s="12" t="n">
        <v>941.9299999999999</v>
      </c>
      <c r="E33" s="13" t="n">
        <v>45090</v>
      </c>
      <c r="F33">
        <f>TEXT(E33,"MMM YYYY")</f>
        <v/>
      </c>
    </row>
    <row r="34">
      <c r="A34" t="inlineStr">
        <is>
          <t>POL-1031</t>
        </is>
      </c>
      <c r="B34" t="inlineStr">
        <is>
          <t>רונית שמעוני</t>
        </is>
      </c>
      <c r="C34" t="inlineStr">
        <is>
          <t>P-TRAVEL</t>
        </is>
      </c>
      <c r="D34" s="12" t="n">
        <v>566.8200000000001</v>
      </c>
      <c r="E34" s="13" t="n">
        <v>46447</v>
      </c>
      <c r="F34">
        <f>TEXT(E34,"MMM YYYY")</f>
        <v/>
      </c>
    </row>
    <row r="35">
      <c r="A35" t="inlineStr">
        <is>
          <t>POL-1032</t>
        </is>
      </c>
      <c r="B35" t="inlineStr">
        <is>
          <t>אבי מזרחי</t>
        </is>
      </c>
      <c r="C35" t="inlineStr">
        <is>
          <t>P-HEALTH</t>
        </is>
      </c>
      <c r="D35" s="12" t="n">
        <v>2522.28</v>
      </c>
      <c r="E35" s="13" t="n">
        <v>45493</v>
      </c>
      <c r="F35">
        <f>TEXT(E35,"MMM YYYY")</f>
        <v/>
      </c>
    </row>
    <row r="36">
      <c r="A36" t="inlineStr">
        <is>
          <t>POL-1033</t>
        </is>
      </c>
      <c r="B36" t="inlineStr">
        <is>
          <t>דוד לוי</t>
        </is>
      </c>
      <c r="C36" t="inlineStr">
        <is>
          <t>P-PET</t>
        </is>
      </c>
      <c r="D36" s="12" t="n">
        <v>3327.03</v>
      </c>
      <c r="E36" s="13" t="n">
        <v>45625</v>
      </c>
      <c r="F36">
        <f>TEXT(E36,"MMM YYYY")</f>
        <v/>
      </c>
    </row>
    <row r="37">
      <c r="A37" t="inlineStr">
        <is>
          <t>POL-1034</t>
        </is>
      </c>
      <c r="B37" t="inlineStr">
        <is>
          <t>אבי מזרחי</t>
        </is>
      </c>
      <c r="C37" t="inlineStr">
        <is>
          <t>P-LIFE</t>
        </is>
      </c>
      <c r="D37" s="12" t="n">
        <v>3528.11</v>
      </c>
      <c r="E37" s="13" t="n">
        <v>45275</v>
      </c>
      <c r="F37">
        <f>TEXT(E37,"MMM YYYY")</f>
        <v/>
      </c>
    </row>
    <row r="38">
      <c r="A38" t="inlineStr">
        <is>
          <t>POL-1035</t>
        </is>
      </c>
      <c r="B38" t="inlineStr">
        <is>
          <t>דוד לוי</t>
        </is>
      </c>
      <c r="C38" t="inlineStr">
        <is>
          <t>P-LIFE</t>
        </is>
      </c>
      <c r="D38" s="12" t="n">
        <v>2126.01</v>
      </c>
      <c r="E38" s="13" t="n">
        <v>45391</v>
      </c>
      <c r="F38">
        <f>TEXT(E38,"MMM YYYY")</f>
        <v/>
      </c>
    </row>
    <row r="39">
      <c r="A39" t="inlineStr">
        <is>
          <t>POL-1036</t>
        </is>
      </c>
      <c r="B39" t="inlineStr">
        <is>
          <t>דוד לוי</t>
        </is>
      </c>
      <c r="C39" t="inlineStr">
        <is>
          <t>P-PET</t>
        </is>
      </c>
      <c r="D39" s="12" t="n">
        <v>3978.58</v>
      </c>
      <c r="E39" s="13" t="n">
        <v>45196</v>
      </c>
      <c r="F39">
        <f>TEXT(E39,"MMM YYYY")</f>
        <v/>
      </c>
    </row>
    <row r="40">
      <c r="A40" t="inlineStr">
        <is>
          <t>POL-1037</t>
        </is>
      </c>
      <c r="B40" t="inlineStr">
        <is>
          <t>אבי מזרחי</t>
        </is>
      </c>
      <c r="C40" t="inlineStr">
        <is>
          <t>P-HOME</t>
        </is>
      </c>
      <c r="D40" s="12" t="n">
        <v>2432.26</v>
      </c>
      <c r="E40" s="13" t="n">
        <v>45035</v>
      </c>
      <c r="F40">
        <f>TEXT(E40,"MMM YYYY")</f>
        <v/>
      </c>
    </row>
    <row r="41">
      <c r="A41" t="inlineStr">
        <is>
          <t>POL-1038</t>
        </is>
      </c>
      <c r="B41" t="inlineStr">
        <is>
          <t>יוסי אברהם</t>
        </is>
      </c>
      <c r="C41" t="inlineStr">
        <is>
          <t>P-PET</t>
        </is>
      </c>
      <c r="D41" s="12" t="n">
        <v>2432.18</v>
      </c>
      <c r="E41" s="13" t="n">
        <v>45130</v>
      </c>
      <c r="F41">
        <f>TEXT(E41,"MMM YYYY")</f>
        <v/>
      </c>
    </row>
    <row r="42">
      <c r="A42" t="inlineStr">
        <is>
          <t>POL-1039</t>
        </is>
      </c>
      <c r="B42" t="inlineStr">
        <is>
          <t>מיכל כהן</t>
        </is>
      </c>
      <c r="C42" t="inlineStr">
        <is>
          <t>P-LIFE</t>
        </is>
      </c>
      <c r="D42" s="12" t="n">
        <v>3502.55</v>
      </c>
      <c r="E42" s="13" t="n">
        <v>45479</v>
      </c>
      <c r="F42">
        <f>TEXT(E42,"MMM YYYY")</f>
        <v/>
      </c>
    </row>
    <row r="43">
      <c r="A43" t="inlineStr">
        <is>
          <t>POL-1040</t>
        </is>
      </c>
      <c r="B43" t="inlineStr">
        <is>
          <t>אבי מזרחי</t>
        </is>
      </c>
      <c r="C43" t="inlineStr">
        <is>
          <t>P-CAR</t>
        </is>
      </c>
      <c r="D43" s="12" t="n">
        <v>2815.57</v>
      </c>
      <c r="E43" s="13" t="n">
        <v>45427</v>
      </c>
      <c r="F43">
        <f>TEXT(E43,"MMM YYYY")</f>
        <v/>
      </c>
    </row>
    <row r="45">
      <c r="A45" s="8" t="inlineStr">
        <is>
          <t>משימה: סמנו את כל טווח הנתונים (A3:F43) ← Insert ← PivotTable.</t>
        </is>
      </c>
    </row>
    <row r="46">
      <c r="A46" s="8" t="inlineStr">
        <is>
          <t>גררו 'שם סוכן' לאזור Rows, 'פרמיה' לאזור Values (הגדירו Sum), ו'סוג מוצר' לאזור Columns.</t>
        </is>
      </c>
    </row>
    <row r="47">
      <c r="A47" s="8" t="inlineStr">
        <is>
          <t>הוסיפו עוד PivotTable שני עם 'סוג מוצר' ב-Rows ו-Count של 'מספר פוליסה' ב-Values — כדי לראות כמות פוליסות לכל סוג.</t>
        </is>
      </c>
    </row>
    <row r="48">
      <c r="A48" s="8" t="inlineStr">
        <is>
          <t>שאלה למחשבה: איזה סוכן הביא הכי הרבה פרמיה כוללת? איזה סוג מוצר הכי נפוץ?</t>
        </is>
      </c>
    </row>
  </sheetData>
  <mergeCells count="5">
    <mergeCell ref="A47:F47"/>
    <mergeCell ref="A46:F46"/>
    <mergeCell ref="A45:F45"/>
    <mergeCell ref="A1:F1"/>
    <mergeCell ref="A48:F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פרק 6 — Conditional Formatting: סמנו חריגות ידנית דרך התפריט</t>
        </is>
      </c>
    </row>
    <row r="3">
      <c r="A3" s="6" t="inlineStr">
        <is>
          <t>מספר פוליסה</t>
        </is>
      </c>
      <c r="B3" s="6" t="inlineStr">
        <is>
          <t>שם סוכן</t>
        </is>
      </c>
      <c r="C3" s="6" t="inlineStr">
        <is>
          <t>סוג מוצר</t>
        </is>
      </c>
      <c r="D3" s="6" t="inlineStr">
        <is>
          <t>פרמיה (₪)</t>
        </is>
      </c>
      <c r="E3" s="6" t="inlineStr">
        <is>
          <t>תאריך הנפקה</t>
        </is>
      </c>
      <c r="F3" s="6" t="inlineStr">
        <is>
          <t>מזהה לקוח</t>
        </is>
      </c>
    </row>
    <row r="4">
      <c r="A4" t="inlineStr">
        <is>
          <t>POL-1001</t>
        </is>
      </c>
      <c r="B4" t="inlineStr">
        <is>
          <t xml:space="preserve">  דוד לוי  </t>
        </is>
      </c>
      <c r="C4" t="inlineStr">
        <is>
          <t>P-CAR</t>
        </is>
      </c>
      <c r="D4" s="12" t="n">
        <v>3414.51</v>
      </c>
      <c r="E4" s="13" t="n">
        <v>45177</v>
      </c>
      <c r="F4" t="inlineStr">
        <is>
          <t>C-2000</t>
        </is>
      </c>
    </row>
    <row r="5">
      <c r="A5" t="inlineStr">
        <is>
          <t>POL-1002</t>
        </is>
      </c>
      <c r="B5" t="inlineStr">
        <is>
          <t>מיכל כהן</t>
        </is>
      </c>
      <c r="C5" t="inlineStr">
        <is>
          <t>P-HOME</t>
        </is>
      </c>
      <c r="D5" s="12" t="n">
        <v>3393.18</v>
      </c>
      <c r="E5" s="13" t="n">
        <v>45619</v>
      </c>
      <c r="F5" t="inlineStr">
        <is>
          <t>C-2001</t>
        </is>
      </c>
    </row>
    <row r="6">
      <c r="A6" t="inlineStr">
        <is>
          <t>POL-1003</t>
        </is>
      </c>
      <c r="B6" t="inlineStr">
        <is>
          <t>אבי מזרחי</t>
        </is>
      </c>
      <c r="C6" t="inlineStr">
        <is>
          <t>P-CAR</t>
        </is>
      </c>
      <c r="D6" s="12" t="n">
        <v>2780.07</v>
      </c>
      <c r="E6" s="13" t="n">
        <v>44959</v>
      </c>
      <c r="F6" t="inlineStr">
        <is>
          <t>C-2002</t>
        </is>
      </c>
    </row>
    <row r="7">
      <c r="A7" t="inlineStr">
        <is>
          <t>POL-1004</t>
        </is>
      </c>
      <c r="B7" t="inlineStr">
        <is>
          <t>דוד לוי</t>
        </is>
      </c>
      <c r="C7" t="inlineStr">
        <is>
          <t>P-CAR</t>
        </is>
      </c>
      <c r="D7" s="12" t="n">
        <v>1218.28</v>
      </c>
      <c r="E7" s="13" t="n">
        <v>45444</v>
      </c>
      <c r="F7" t="inlineStr">
        <is>
          <t>C-2003</t>
        </is>
      </c>
    </row>
    <row r="8">
      <c r="A8" t="inlineStr">
        <is>
          <t>POL-1005</t>
        </is>
      </c>
      <c r="B8" t="inlineStr">
        <is>
          <t>אבי מזרחי</t>
        </is>
      </c>
      <c r="C8" t="inlineStr">
        <is>
          <t>P-CAR</t>
        </is>
      </c>
      <c r="D8" s="12" t="n">
        <v>2657.23</v>
      </c>
      <c r="E8" s="13" t="n">
        <v>45660</v>
      </c>
      <c r="F8" t="inlineStr">
        <is>
          <t>C-2004</t>
        </is>
      </c>
    </row>
    <row r="9">
      <c r="A9" t="inlineStr">
        <is>
          <t>POL-1006</t>
        </is>
      </c>
      <c r="B9" t="inlineStr">
        <is>
          <t xml:space="preserve">  אבי מזרחי  </t>
        </is>
      </c>
      <c r="C9" t="inlineStr">
        <is>
          <t>P-HEALTH</t>
        </is>
      </c>
      <c r="D9" s="12" t="n">
        <v>1225.85</v>
      </c>
      <c r="E9" s="13" t="n">
        <v>45530</v>
      </c>
      <c r="F9" t="inlineStr">
        <is>
          <t>C-2005</t>
        </is>
      </c>
    </row>
    <row r="10">
      <c r="A10" t="inlineStr">
        <is>
          <t>POL-1007</t>
        </is>
      </c>
      <c r="B10" t="inlineStr">
        <is>
          <t>יוסי אברהם</t>
        </is>
      </c>
      <c r="C10" t="inlineStr">
        <is>
          <t>P-CAR</t>
        </is>
      </c>
      <c r="D10" s="12" t="n">
        <v>3486.99</v>
      </c>
      <c r="E10" s="13" t="n">
        <v>45090</v>
      </c>
      <c r="F10" t="inlineStr">
        <is>
          <t>C-2006</t>
        </is>
      </c>
    </row>
    <row r="11">
      <c r="A11" t="inlineStr">
        <is>
          <t>POL-1004</t>
        </is>
      </c>
      <c r="B11" t="inlineStr">
        <is>
          <t>רונית שמעוני</t>
        </is>
      </c>
      <c r="C11" t="inlineStr">
        <is>
          <t>P-LIFE</t>
        </is>
      </c>
      <c r="D11" s="12" t="n">
        <v>1467.06</v>
      </c>
      <c r="E11" s="13" t="n">
        <v>45147</v>
      </c>
      <c r="F11" t="inlineStr">
        <is>
          <t>C-2007</t>
        </is>
      </c>
    </row>
    <row r="12">
      <c r="A12" t="inlineStr">
        <is>
          <t>POL-1009</t>
        </is>
      </c>
      <c r="B12" t="inlineStr">
        <is>
          <t>יוסי אברהם</t>
        </is>
      </c>
      <c r="C12" t="inlineStr">
        <is>
          <t>P-CAR</t>
        </is>
      </c>
      <c r="D12" s="12" t="n">
        <v>689.53</v>
      </c>
      <c r="E12" s="13" t="n">
        <v>45026</v>
      </c>
      <c r="F12" t="inlineStr">
        <is>
          <t>C-2008</t>
        </is>
      </c>
    </row>
    <row r="13">
      <c r="A13" t="inlineStr">
        <is>
          <t>POL-1010</t>
        </is>
      </c>
      <c r="B13" t="inlineStr">
        <is>
          <t>יוסי אברהם</t>
        </is>
      </c>
      <c r="C13" t="inlineStr">
        <is>
          <t>P-LIFE</t>
        </is>
      </c>
      <c r="D13" s="12" t="n">
        <v>2835.65</v>
      </c>
      <c r="E13" s="13" t="n">
        <v>45753</v>
      </c>
      <c r="F13" t="inlineStr">
        <is>
          <t>C-2009</t>
        </is>
      </c>
    </row>
    <row r="14">
      <c r="A14" t="inlineStr">
        <is>
          <t>POL-1011</t>
        </is>
      </c>
      <c r="B14" t="inlineStr">
        <is>
          <t xml:space="preserve">  דוד לוי  </t>
        </is>
      </c>
      <c r="C14" t="inlineStr">
        <is>
          <t>P-PET</t>
        </is>
      </c>
      <c r="D14" s="12" t="n">
        <v>2229.58</v>
      </c>
      <c r="E14" s="13" t="n">
        <v>45054</v>
      </c>
      <c r="F14" t="inlineStr">
        <is>
          <t>C-2010</t>
        </is>
      </c>
    </row>
    <row r="15">
      <c r="A15" t="inlineStr">
        <is>
          <t>POL-1012</t>
        </is>
      </c>
      <c r="B15" t="inlineStr">
        <is>
          <t>רונית שמעוני</t>
        </is>
      </c>
      <c r="C15" t="inlineStr">
        <is>
          <t>P-CAR</t>
        </is>
      </c>
      <c r="D15" s="12" t="n">
        <v>2618.57</v>
      </c>
      <c r="E15" s="13" t="n">
        <v>45776</v>
      </c>
      <c r="F15" t="inlineStr">
        <is>
          <t>C-2011</t>
        </is>
      </c>
    </row>
    <row r="16">
      <c r="A16" t="inlineStr">
        <is>
          <t>POL-1013</t>
        </is>
      </c>
      <c r="B16" t="inlineStr">
        <is>
          <t>אבי מזרחי</t>
        </is>
      </c>
      <c r="C16" t="inlineStr">
        <is>
          <t>P-LIFE</t>
        </is>
      </c>
      <c r="D16" s="12" t="n">
        <v>-150</v>
      </c>
      <c r="E16" s="13" t="n">
        <v>45648</v>
      </c>
      <c r="F16" t="inlineStr">
        <is>
          <t>C-2012</t>
        </is>
      </c>
    </row>
    <row r="17">
      <c r="A17" t="inlineStr">
        <is>
          <t>POL-1014</t>
        </is>
      </c>
      <c r="B17" t="inlineStr">
        <is>
          <t>דוד לוי</t>
        </is>
      </c>
      <c r="C17" t="inlineStr">
        <is>
          <t>P-CAR</t>
        </is>
      </c>
      <c r="D17" s="12" t="n">
        <v>3077.31</v>
      </c>
      <c r="E17" s="13" t="n">
        <v>45718</v>
      </c>
      <c r="F17" t="inlineStr">
        <is>
          <t>C-2013</t>
        </is>
      </c>
    </row>
    <row r="18">
      <c r="A18" t="inlineStr">
        <is>
          <t>POL-1015</t>
        </is>
      </c>
      <c r="B18" t="inlineStr">
        <is>
          <t>יוסי אברהם</t>
        </is>
      </c>
      <c r="C18" t="inlineStr">
        <is>
          <t>P-CAR</t>
        </is>
      </c>
      <c r="D18" s="12" t="n">
        <v>3892.33</v>
      </c>
      <c r="E18" s="13" t="n">
        <v>45814</v>
      </c>
      <c r="F18" t="inlineStr">
        <is>
          <t>C-2014</t>
        </is>
      </c>
    </row>
    <row r="19">
      <c r="A19" t="inlineStr">
        <is>
          <t>POL-1016</t>
        </is>
      </c>
      <c r="B19" t="inlineStr">
        <is>
          <t xml:space="preserve">  דוד לוי  </t>
        </is>
      </c>
      <c r="C19" t="inlineStr">
        <is>
          <t>P-HEALTH</t>
        </is>
      </c>
      <c r="D19" s="12" t="n">
        <v>1467.49</v>
      </c>
      <c r="E19" s="13" t="n">
        <v>45577</v>
      </c>
      <c r="F19" t="inlineStr">
        <is>
          <t>C-2015</t>
        </is>
      </c>
    </row>
    <row r="20">
      <c r="A20" t="inlineStr">
        <is>
          <t>POL-1017</t>
        </is>
      </c>
      <c r="B20" t="inlineStr">
        <is>
          <t>יוסי אברהם</t>
        </is>
      </c>
      <c r="C20" t="inlineStr">
        <is>
          <t>P-HOME</t>
        </is>
      </c>
      <c r="D20" s="12" t="n">
        <v>1854.76</v>
      </c>
      <c r="E20" s="13" t="n">
        <v>45141</v>
      </c>
      <c r="F20" t="inlineStr">
        <is>
          <t>C-2016</t>
        </is>
      </c>
    </row>
    <row r="21">
      <c r="A21" t="inlineStr">
        <is>
          <t>POL-1018</t>
        </is>
      </c>
      <c r="B21" t="inlineStr">
        <is>
          <t>יוסי אברהם</t>
        </is>
      </c>
      <c r="C21" t="inlineStr">
        <is>
          <t>P-PET</t>
        </is>
      </c>
      <c r="D21" s="12" t="n">
        <v>4233.95</v>
      </c>
      <c r="E21" s="13" t="n">
        <v>45590</v>
      </c>
      <c r="F21" t="inlineStr">
        <is>
          <t>C-2017</t>
        </is>
      </c>
    </row>
    <row r="22">
      <c r="A22" t="inlineStr">
        <is>
          <t>POL-1019</t>
        </is>
      </c>
      <c r="B22" t="inlineStr">
        <is>
          <t>דוד לוי</t>
        </is>
      </c>
      <c r="C22" t="inlineStr">
        <is>
          <t>P-TRAVEL</t>
        </is>
      </c>
      <c r="D22" s="12" t="n">
        <v>2966.91</v>
      </c>
      <c r="E22" s="13" t="n">
        <v>45473</v>
      </c>
      <c r="F22" t="inlineStr"/>
    </row>
    <row r="23">
      <c r="A23" t="inlineStr">
        <is>
          <t>POL-1020</t>
        </is>
      </c>
      <c r="B23" t="inlineStr">
        <is>
          <t>מיכל כהן</t>
        </is>
      </c>
      <c r="C23" t="inlineStr">
        <is>
          <t>P-HOME</t>
        </is>
      </c>
      <c r="D23" s="12" t="n">
        <v>2241.49</v>
      </c>
      <c r="E23" s="13" t="n">
        <v>45203</v>
      </c>
      <c r="F23" t="inlineStr">
        <is>
          <t>C-2019</t>
        </is>
      </c>
    </row>
    <row r="24">
      <c r="A24" t="inlineStr">
        <is>
          <t>POL-1021</t>
        </is>
      </c>
      <c r="B24" t="inlineStr">
        <is>
          <t xml:space="preserve">  אבי מזרחי  </t>
        </is>
      </c>
      <c r="C24" t="inlineStr">
        <is>
          <t>P-HOME</t>
        </is>
      </c>
      <c r="D24" s="12" t="n">
        <v>3175.38</v>
      </c>
      <c r="E24" s="13" t="n">
        <v>45790</v>
      </c>
      <c r="F24" t="inlineStr">
        <is>
          <t>C-2020</t>
        </is>
      </c>
    </row>
    <row r="25">
      <c r="A25" t="inlineStr">
        <is>
          <t>POL-1022</t>
        </is>
      </c>
      <c r="B25" t="inlineStr">
        <is>
          <t>דוד לוי</t>
        </is>
      </c>
      <c r="C25" t="inlineStr">
        <is>
          <t>P-HOME</t>
        </is>
      </c>
      <c r="D25" s="12" t="n">
        <v>3751.57</v>
      </c>
      <c r="E25" s="13" t="n">
        <v>45751</v>
      </c>
      <c r="F25" t="inlineStr">
        <is>
          <t>C-2021</t>
        </is>
      </c>
    </row>
    <row r="26">
      <c r="A26" t="inlineStr">
        <is>
          <t>POL-1004</t>
        </is>
      </c>
      <c r="B26" t="inlineStr">
        <is>
          <t>יוסי אברהם</t>
        </is>
      </c>
      <c r="C26" t="inlineStr">
        <is>
          <t>P-HEALTH</t>
        </is>
      </c>
      <c r="D26" s="12" t="n">
        <v>1424.51</v>
      </c>
      <c r="E26" s="13" t="n">
        <v>45143</v>
      </c>
      <c r="F26" t="inlineStr">
        <is>
          <t>C-2022</t>
        </is>
      </c>
    </row>
    <row r="27">
      <c r="A27" t="inlineStr">
        <is>
          <t>POL-1024</t>
        </is>
      </c>
      <c r="B27" t="inlineStr">
        <is>
          <t>אבי מזרחי</t>
        </is>
      </c>
      <c r="C27" t="inlineStr">
        <is>
          <t>P-PET</t>
        </is>
      </c>
      <c r="D27" s="12" t="n">
        <v>1621.65</v>
      </c>
      <c r="E27" s="13" t="n">
        <v>45598</v>
      </c>
      <c r="F27" t="inlineStr">
        <is>
          <t>C-2023</t>
        </is>
      </c>
    </row>
    <row r="28">
      <c r="A28" t="inlineStr">
        <is>
          <t>POL-1025</t>
        </is>
      </c>
      <c r="B28" t="inlineStr">
        <is>
          <t>רונית שמעוני</t>
        </is>
      </c>
      <c r="C28" t="inlineStr">
        <is>
          <t>P-HEALTH</t>
        </is>
      </c>
      <c r="D28" s="12" t="n">
        <v>4015.67</v>
      </c>
      <c r="E28" s="13" t="n">
        <v>45585</v>
      </c>
      <c r="F28" t="inlineStr">
        <is>
          <t>C-2024</t>
        </is>
      </c>
    </row>
    <row r="29">
      <c r="A29" t="inlineStr">
        <is>
          <t>POL-1026</t>
        </is>
      </c>
      <c r="B29" t="inlineStr">
        <is>
          <t xml:space="preserve">  רונית שמעוני  </t>
        </is>
      </c>
      <c r="C29" t="inlineStr">
        <is>
          <t>P-HOME</t>
        </is>
      </c>
      <c r="D29" s="12" t="n">
        <v>1412.5</v>
      </c>
      <c r="E29" s="13" t="n">
        <v>45179</v>
      </c>
      <c r="F29" t="inlineStr">
        <is>
          <t>C-2025</t>
        </is>
      </c>
    </row>
    <row r="30">
      <c r="A30" t="inlineStr">
        <is>
          <t>POL-1027</t>
        </is>
      </c>
      <c r="B30" t="inlineStr">
        <is>
          <t>אבי מזרחי</t>
        </is>
      </c>
      <c r="C30" t="inlineStr">
        <is>
          <t>P-TRAVEL</t>
        </is>
      </c>
      <c r="D30" s="12" t="n">
        <v>1403.51</v>
      </c>
      <c r="E30" s="13" t="n">
        <v>45525</v>
      </c>
      <c r="F30" t="inlineStr">
        <is>
          <t>C-2026</t>
        </is>
      </c>
    </row>
    <row r="31">
      <c r="A31" t="inlineStr">
        <is>
          <t>POL-1028</t>
        </is>
      </c>
      <c r="B31" t="inlineStr">
        <is>
          <t>רונית שמעוני</t>
        </is>
      </c>
      <c r="C31" t="inlineStr">
        <is>
          <t>P-TRAVEL</t>
        </is>
      </c>
      <c r="D31" s="12" t="n">
        <v>1977.48</v>
      </c>
      <c r="E31" s="13" t="n">
        <v>45151</v>
      </c>
      <c r="F31" t="inlineStr">
        <is>
          <t>C-2027</t>
        </is>
      </c>
    </row>
    <row r="32">
      <c r="A32" t="inlineStr">
        <is>
          <t>POL-1029</t>
        </is>
      </c>
      <c r="B32" t="inlineStr">
        <is>
          <t>מיכל כהן</t>
        </is>
      </c>
      <c r="C32" t="inlineStr">
        <is>
          <t>P-TRAVEL</t>
        </is>
      </c>
      <c r="D32" s="12" t="n">
        <v>2372.77</v>
      </c>
      <c r="E32" s="13" t="n">
        <v>45700</v>
      </c>
      <c r="F32" t="inlineStr">
        <is>
          <t>C-2028</t>
        </is>
      </c>
    </row>
    <row r="33">
      <c r="A33" t="inlineStr">
        <is>
          <t>POL-1030</t>
        </is>
      </c>
      <c r="B33" t="inlineStr">
        <is>
          <t>דוד לוי</t>
        </is>
      </c>
      <c r="C33" t="inlineStr">
        <is>
          <t>P-CAR</t>
        </is>
      </c>
      <c r="D33" s="12" t="n">
        <v>941.9299999999999</v>
      </c>
      <c r="E33" s="13" t="n">
        <v>45090</v>
      </c>
      <c r="F33" t="inlineStr">
        <is>
          <t>C-2029</t>
        </is>
      </c>
    </row>
    <row r="34">
      <c r="A34" t="inlineStr">
        <is>
          <t>POL-1031</t>
        </is>
      </c>
      <c r="B34" t="inlineStr">
        <is>
          <t xml:space="preserve">  רונית שמעוני  </t>
        </is>
      </c>
      <c r="C34" t="inlineStr">
        <is>
          <t>P-TRAVEL</t>
        </is>
      </c>
      <c r="D34" s="12" t="n">
        <v>566.8200000000001</v>
      </c>
      <c r="E34" s="13" t="n">
        <v>46447</v>
      </c>
      <c r="F34" t="inlineStr">
        <is>
          <t>C-2030</t>
        </is>
      </c>
    </row>
    <row r="35">
      <c r="A35" t="inlineStr">
        <is>
          <t>POL-1032</t>
        </is>
      </c>
      <c r="B35" t="inlineStr">
        <is>
          <t>אבי מזרחי</t>
        </is>
      </c>
      <c r="C35" t="inlineStr">
        <is>
          <t>P-HEALTH</t>
        </is>
      </c>
      <c r="D35" s="12" t="n">
        <v>2522.28</v>
      </c>
      <c r="E35" s="13" t="n">
        <v>45493</v>
      </c>
      <c r="F35" t="inlineStr">
        <is>
          <t>C-2031</t>
        </is>
      </c>
    </row>
    <row r="36">
      <c r="A36" t="inlineStr">
        <is>
          <t>POL-1033</t>
        </is>
      </c>
      <c r="B36" t="inlineStr">
        <is>
          <t>דוד לוי</t>
        </is>
      </c>
      <c r="C36" t="inlineStr">
        <is>
          <t>P-PET</t>
        </is>
      </c>
      <c r="D36" s="12" t="n">
        <v>3327.03</v>
      </c>
      <c r="E36" s="13" t="n">
        <v>45625</v>
      </c>
      <c r="F36" t="inlineStr">
        <is>
          <t>C-2032</t>
        </is>
      </c>
    </row>
    <row r="37">
      <c r="A37" t="inlineStr">
        <is>
          <t>POL-1034</t>
        </is>
      </c>
      <c r="B37" t="inlineStr">
        <is>
          <t>אבי מזרחי</t>
        </is>
      </c>
      <c r="C37" t="inlineStr">
        <is>
          <t>P-LIFE</t>
        </is>
      </c>
      <c r="D37" s="12" t="n">
        <v>3528.11</v>
      </c>
      <c r="E37" s="13" t="n">
        <v>45275</v>
      </c>
      <c r="F37" t="inlineStr">
        <is>
          <t>C-2033</t>
        </is>
      </c>
    </row>
    <row r="38">
      <c r="A38" t="inlineStr">
        <is>
          <t>POL-1035</t>
        </is>
      </c>
      <c r="B38" t="inlineStr">
        <is>
          <t>דוד לוי</t>
        </is>
      </c>
      <c r="C38" t="inlineStr">
        <is>
          <t>P-LIFE</t>
        </is>
      </c>
      <c r="D38" s="12" t="n">
        <v>2126.01</v>
      </c>
      <c r="E38" s="13" t="n">
        <v>45391</v>
      </c>
      <c r="F38" t="inlineStr">
        <is>
          <t>C-2034</t>
        </is>
      </c>
    </row>
    <row r="39">
      <c r="A39" t="inlineStr">
        <is>
          <t>POL-1036</t>
        </is>
      </c>
      <c r="B39" t="inlineStr">
        <is>
          <t xml:space="preserve">  דוד לוי  </t>
        </is>
      </c>
      <c r="C39" t="inlineStr">
        <is>
          <t>P-PET</t>
        </is>
      </c>
      <c r="D39" s="12" t="n">
        <v>3978.58</v>
      </c>
      <c r="E39" s="13" t="n">
        <v>45196</v>
      </c>
      <c r="F39" t="inlineStr">
        <is>
          <t>C-2035</t>
        </is>
      </c>
    </row>
    <row r="40">
      <c r="A40" t="inlineStr">
        <is>
          <t>POL-1037</t>
        </is>
      </c>
      <c r="B40" t="inlineStr">
        <is>
          <t>אבי מזרחי</t>
        </is>
      </c>
      <c r="C40" t="inlineStr">
        <is>
          <t>P-HOME</t>
        </is>
      </c>
      <c r="D40" s="12" t="n">
        <v>2432.26</v>
      </c>
      <c r="E40" s="13" t="n">
        <v>45035</v>
      </c>
      <c r="F40" t="inlineStr">
        <is>
          <t>C-2036</t>
        </is>
      </c>
    </row>
    <row r="41">
      <c r="A41" t="inlineStr">
        <is>
          <t>POL-1038</t>
        </is>
      </c>
      <c r="B41" t="inlineStr">
        <is>
          <t>יוסי אברהם</t>
        </is>
      </c>
      <c r="C41" t="inlineStr">
        <is>
          <t>P-PET</t>
        </is>
      </c>
      <c r="D41" s="12" t="n">
        <v>2432.18</v>
      </c>
      <c r="E41" s="13" t="n">
        <v>45130</v>
      </c>
      <c r="F41" t="inlineStr">
        <is>
          <t>C-2037</t>
        </is>
      </c>
    </row>
    <row r="42">
      <c r="A42" t="inlineStr">
        <is>
          <t>POL-1039</t>
        </is>
      </c>
      <c r="B42" t="inlineStr">
        <is>
          <t>מיכל כהן</t>
        </is>
      </c>
      <c r="C42" t="inlineStr">
        <is>
          <t>P-LIFE</t>
        </is>
      </c>
      <c r="D42" s="12" t="n">
        <v>3502.55</v>
      </c>
      <c r="E42" s="13" t="n">
        <v>45479</v>
      </c>
      <c r="F42" t="inlineStr">
        <is>
          <t>C-2038</t>
        </is>
      </c>
    </row>
    <row r="43">
      <c r="A43" t="inlineStr">
        <is>
          <t>POL-1040</t>
        </is>
      </c>
      <c r="B43" t="inlineStr">
        <is>
          <t>אבי מזרחי</t>
        </is>
      </c>
      <c r="C43" t="inlineStr">
        <is>
          <t>P-CAR</t>
        </is>
      </c>
      <c r="D43" s="12" t="n">
        <v>2815.57</v>
      </c>
      <c r="E43" s="13" t="n">
        <v>45427</v>
      </c>
      <c r="F43" t="inlineStr">
        <is>
          <t>C-2039</t>
        </is>
      </c>
    </row>
    <row r="45">
      <c r="A45" s="8" t="inlineStr">
        <is>
          <t>משימה: דרך Home -&gt; Conditional Formatting -&gt; New Rule -&gt; 'Use a formula...' הוסיפו 3 כללים על הטווח A4:F43:</t>
        </is>
      </c>
    </row>
    <row r="46">
      <c r="A46" s="8" t="inlineStr">
        <is>
          <t>1. צביעה אדומה לשורה עם פרמיה שלילית: =$D4&lt;0</t>
        </is>
      </c>
    </row>
    <row r="47">
      <c r="A47" s="8" t="inlineStr">
        <is>
          <t>2. צביעה כתומה לשורה עם תאריך עתידי: =$E4&gt;TODAY()</t>
        </is>
      </c>
    </row>
    <row r="48">
      <c r="A48" s="8" t="inlineStr">
        <is>
          <t>3. צביעה צהובה לשורה עם מספר פוליסה כפול: =COUNTIF($A$4:$A$43,$A4)&gt;1</t>
        </is>
      </c>
    </row>
    <row r="49">
      <c r="A49" s="8" t="inlineStr">
        <is>
          <t>טיפ: כדי שהכלל יצבע שורה שלמה, בחרו את כל הטווח A4:F43 לפני יצירת הכלל, וודאו שההפניה לעמודה נעולה בעזרת $ (כמו בדוגמאות).</t>
        </is>
      </c>
    </row>
  </sheetData>
  <mergeCells count="6">
    <mergeCell ref="A49:F49"/>
    <mergeCell ref="A47:F47"/>
    <mergeCell ref="A46:F46"/>
    <mergeCell ref="A45:F45"/>
    <mergeCell ref="A1:F1"/>
    <mergeCell ref="A48:F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פרק 7 — Data Quality Gate: החליטו אם כל רשומה 'קבילה' או 'נדחית'</t>
        </is>
      </c>
    </row>
    <row r="3">
      <c r="A3" s="6" t="inlineStr">
        <is>
          <t>מספר פוליסה</t>
        </is>
      </c>
      <c r="B3" s="6" t="inlineStr">
        <is>
          <t>שם סוכן</t>
        </is>
      </c>
      <c r="C3" s="6" t="inlineStr">
        <is>
          <t>סוג מוצר</t>
        </is>
      </c>
      <c r="D3" s="6" t="inlineStr">
        <is>
          <t>פרמיה (₪)</t>
        </is>
      </c>
      <c r="E3" s="6" t="inlineStr">
        <is>
          <t>תאריך הנפקה</t>
        </is>
      </c>
      <c r="F3" s="6" t="inlineStr">
        <is>
          <t>מזהה לקוח</t>
        </is>
      </c>
      <c r="G3" s="6" t="inlineStr">
        <is>
          <t>בדיקה: שדה חובה</t>
        </is>
      </c>
      <c r="H3" s="6" t="inlineStr">
        <is>
          <t>בדיקה: כפילות</t>
        </is>
      </c>
      <c r="I3" s="6" t="inlineStr">
        <is>
          <t>החלטה סופית (המשימה שלך)</t>
        </is>
      </c>
    </row>
    <row r="4">
      <c r="A4" t="inlineStr">
        <is>
          <t>POL-1001</t>
        </is>
      </c>
      <c r="B4" t="inlineStr">
        <is>
          <t xml:space="preserve">  דוד לוי  </t>
        </is>
      </c>
      <c r="C4" t="inlineStr">
        <is>
          <t>P-CAR</t>
        </is>
      </c>
      <c r="D4" s="12" t="n">
        <v>3414.51</v>
      </c>
      <c r="E4" s="13" t="n">
        <v>45177</v>
      </c>
      <c r="F4" t="inlineStr">
        <is>
          <t>C-2000</t>
        </is>
      </c>
      <c r="G4" t="inlineStr"/>
      <c r="H4" t="inlineStr"/>
      <c r="I4" t="inlineStr"/>
    </row>
    <row r="5">
      <c r="A5" t="inlineStr">
        <is>
          <t>POL-1002</t>
        </is>
      </c>
      <c r="B5" t="inlineStr">
        <is>
          <t>מיכל כהן</t>
        </is>
      </c>
      <c r="C5" t="inlineStr">
        <is>
          <t>P-HOME</t>
        </is>
      </c>
      <c r="D5" s="12" t="n">
        <v>3393.18</v>
      </c>
      <c r="E5" s="13" t="n">
        <v>45619</v>
      </c>
      <c r="F5" t="inlineStr">
        <is>
          <t>C-2001</t>
        </is>
      </c>
      <c r="G5" t="inlineStr"/>
      <c r="H5" t="inlineStr"/>
      <c r="I5" t="inlineStr"/>
    </row>
    <row r="6">
      <c r="A6" t="inlineStr">
        <is>
          <t>POL-1003</t>
        </is>
      </c>
      <c r="B6" t="inlineStr">
        <is>
          <t>אבי מזרחי</t>
        </is>
      </c>
      <c r="C6" t="inlineStr">
        <is>
          <t>P-CAR</t>
        </is>
      </c>
      <c r="D6" s="12" t="n">
        <v>2780.07</v>
      </c>
      <c r="E6" s="13" t="n">
        <v>44959</v>
      </c>
      <c r="F6" t="inlineStr">
        <is>
          <t>C-2002</t>
        </is>
      </c>
      <c r="G6" t="inlineStr"/>
      <c r="H6" t="inlineStr"/>
      <c r="I6" t="inlineStr"/>
    </row>
    <row r="7">
      <c r="A7" t="inlineStr">
        <is>
          <t>POL-1004</t>
        </is>
      </c>
      <c r="B7" t="inlineStr">
        <is>
          <t>דוד לוי</t>
        </is>
      </c>
      <c r="C7" t="inlineStr">
        <is>
          <t>P-CAR</t>
        </is>
      </c>
      <c r="D7" s="12" t="n">
        <v>1218.28</v>
      </c>
      <c r="E7" s="13" t="n">
        <v>45444</v>
      </c>
      <c r="F7" t="inlineStr">
        <is>
          <t>C-2003</t>
        </is>
      </c>
      <c r="G7" t="inlineStr"/>
      <c r="H7" t="inlineStr"/>
      <c r="I7" t="inlineStr"/>
    </row>
    <row r="8">
      <c r="A8" t="inlineStr">
        <is>
          <t>POL-1005</t>
        </is>
      </c>
      <c r="B8" t="inlineStr">
        <is>
          <t>אבי מזרחי</t>
        </is>
      </c>
      <c r="C8" t="inlineStr">
        <is>
          <t>P-CAR</t>
        </is>
      </c>
      <c r="D8" s="12" t="n">
        <v>2657.23</v>
      </c>
      <c r="E8" s="13" t="n">
        <v>45660</v>
      </c>
      <c r="F8" t="inlineStr">
        <is>
          <t>C-2004</t>
        </is>
      </c>
      <c r="G8" t="inlineStr"/>
      <c r="H8" t="inlineStr"/>
      <c r="I8" t="inlineStr"/>
    </row>
    <row r="9">
      <c r="A9" t="inlineStr">
        <is>
          <t>POL-1006</t>
        </is>
      </c>
      <c r="B9" t="inlineStr">
        <is>
          <t xml:space="preserve">  אבי מזרחי  </t>
        </is>
      </c>
      <c r="C9" t="inlineStr">
        <is>
          <t>P-HEALTH</t>
        </is>
      </c>
      <c r="D9" s="12" t="n">
        <v>1225.85</v>
      </c>
      <c r="E9" s="13" t="n">
        <v>45530</v>
      </c>
      <c r="F9" t="inlineStr">
        <is>
          <t>C-2005</t>
        </is>
      </c>
      <c r="G9" t="inlineStr"/>
      <c r="H9" t="inlineStr"/>
      <c r="I9" t="inlineStr"/>
    </row>
    <row r="10">
      <c r="A10" t="inlineStr">
        <is>
          <t>POL-1007</t>
        </is>
      </c>
      <c r="B10" t="inlineStr">
        <is>
          <t>יוסי אברהם</t>
        </is>
      </c>
      <c r="C10" t="inlineStr">
        <is>
          <t>P-CAR</t>
        </is>
      </c>
      <c r="D10" s="12" t="n">
        <v>3486.99</v>
      </c>
      <c r="E10" s="13" t="n">
        <v>45090</v>
      </c>
      <c r="F10" t="inlineStr">
        <is>
          <t>C-2006</t>
        </is>
      </c>
      <c r="G10" t="inlineStr"/>
      <c r="H10" t="inlineStr"/>
      <c r="I10" t="inlineStr"/>
    </row>
    <row r="11">
      <c r="A11" t="inlineStr">
        <is>
          <t>POL-1004</t>
        </is>
      </c>
      <c r="B11" t="inlineStr">
        <is>
          <t>רונית שמעוני</t>
        </is>
      </c>
      <c r="C11" t="inlineStr">
        <is>
          <t>P-LIFE</t>
        </is>
      </c>
      <c r="D11" s="12" t="n">
        <v>1467.06</v>
      </c>
      <c r="E11" s="13" t="n">
        <v>45147</v>
      </c>
      <c r="F11" t="inlineStr">
        <is>
          <t>C-2007</t>
        </is>
      </c>
      <c r="G11" t="inlineStr"/>
      <c r="H11" t="inlineStr"/>
      <c r="I11" t="inlineStr"/>
    </row>
    <row r="12">
      <c r="A12" t="inlineStr">
        <is>
          <t>POL-1009</t>
        </is>
      </c>
      <c r="B12" t="inlineStr">
        <is>
          <t>יוסי אברהם</t>
        </is>
      </c>
      <c r="C12" t="inlineStr">
        <is>
          <t>P-CAR</t>
        </is>
      </c>
      <c r="D12" s="12" t="n">
        <v>689.53</v>
      </c>
      <c r="E12" s="13" t="n">
        <v>45026</v>
      </c>
      <c r="F12" t="inlineStr">
        <is>
          <t>C-2008</t>
        </is>
      </c>
      <c r="G12" t="inlineStr"/>
      <c r="H12" t="inlineStr"/>
      <c r="I12" t="inlineStr"/>
    </row>
    <row r="13">
      <c r="A13" t="inlineStr">
        <is>
          <t>POL-1010</t>
        </is>
      </c>
      <c r="B13" t="inlineStr">
        <is>
          <t>יוסי אברהם</t>
        </is>
      </c>
      <c r="C13" t="inlineStr">
        <is>
          <t>P-LIFE</t>
        </is>
      </c>
      <c r="D13" s="12" t="n">
        <v>2835.65</v>
      </c>
      <c r="E13" s="13" t="n">
        <v>45753</v>
      </c>
      <c r="F13" t="inlineStr">
        <is>
          <t>C-2009</t>
        </is>
      </c>
      <c r="G13" t="inlineStr"/>
      <c r="H13" t="inlineStr"/>
      <c r="I13" t="inlineStr"/>
    </row>
    <row r="14">
      <c r="A14" t="inlineStr">
        <is>
          <t>POL-1011</t>
        </is>
      </c>
      <c r="B14" t="inlineStr">
        <is>
          <t xml:space="preserve">  דוד לוי  </t>
        </is>
      </c>
      <c r="C14" t="inlineStr">
        <is>
          <t>P-PET</t>
        </is>
      </c>
      <c r="D14" s="12" t="n">
        <v>2229.58</v>
      </c>
      <c r="E14" s="13" t="n">
        <v>45054</v>
      </c>
      <c r="F14" t="inlineStr">
        <is>
          <t>C-2010</t>
        </is>
      </c>
      <c r="G14" t="inlineStr"/>
      <c r="H14" t="inlineStr"/>
      <c r="I14" t="inlineStr"/>
    </row>
    <row r="15">
      <c r="A15" t="inlineStr">
        <is>
          <t>POL-1012</t>
        </is>
      </c>
      <c r="B15" t="inlineStr">
        <is>
          <t>רונית שמעוני</t>
        </is>
      </c>
      <c r="C15" t="inlineStr">
        <is>
          <t>P-CAR</t>
        </is>
      </c>
      <c r="D15" s="12" t="n">
        <v>2618.57</v>
      </c>
      <c r="E15" s="13" t="n">
        <v>45776</v>
      </c>
      <c r="F15" t="inlineStr">
        <is>
          <t>C-2011</t>
        </is>
      </c>
      <c r="G15" t="inlineStr"/>
      <c r="H15" t="inlineStr"/>
      <c r="I15" t="inlineStr"/>
    </row>
    <row r="16">
      <c r="A16" t="inlineStr">
        <is>
          <t>POL-1013</t>
        </is>
      </c>
      <c r="B16" t="inlineStr">
        <is>
          <t>אבי מזרחי</t>
        </is>
      </c>
      <c r="C16" t="inlineStr">
        <is>
          <t>P-LIFE</t>
        </is>
      </c>
      <c r="D16" s="12" t="n">
        <v>-150</v>
      </c>
      <c r="E16" s="13" t="n">
        <v>45648</v>
      </c>
      <c r="F16" t="inlineStr">
        <is>
          <t>C-2012</t>
        </is>
      </c>
      <c r="G16" t="inlineStr"/>
      <c r="H16" t="inlineStr"/>
      <c r="I16" t="inlineStr"/>
    </row>
    <row r="17">
      <c r="A17" t="inlineStr">
        <is>
          <t>POL-1014</t>
        </is>
      </c>
      <c r="B17" t="inlineStr">
        <is>
          <t>דוד לוי</t>
        </is>
      </c>
      <c r="C17" t="inlineStr">
        <is>
          <t>P-CAR</t>
        </is>
      </c>
      <c r="D17" s="12" t="n">
        <v>3077.31</v>
      </c>
      <c r="E17" s="13" t="n">
        <v>45718</v>
      </c>
      <c r="F17" t="inlineStr">
        <is>
          <t>C-2013</t>
        </is>
      </c>
      <c r="G17" t="inlineStr"/>
      <c r="H17" t="inlineStr"/>
      <c r="I17" t="inlineStr"/>
    </row>
    <row r="18">
      <c r="A18" t="inlineStr">
        <is>
          <t>POL-1015</t>
        </is>
      </c>
      <c r="B18" t="inlineStr">
        <is>
          <t>יוסי אברהם</t>
        </is>
      </c>
      <c r="C18" t="inlineStr">
        <is>
          <t>P-CAR</t>
        </is>
      </c>
      <c r="D18" s="12" t="n">
        <v>3892.33</v>
      </c>
      <c r="E18" s="13" t="n">
        <v>45814</v>
      </c>
      <c r="F18" t="inlineStr">
        <is>
          <t>C-2014</t>
        </is>
      </c>
      <c r="G18" t="inlineStr"/>
      <c r="H18" t="inlineStr"/>
      <c r="I18" t="inlineStr"/>
    </row>
    <row r="19">
      <c r="A19" t="inlineStr">
        <is>
          <t>POL-1016</t>
        </is>
      </c>
      <c r="B19" t="inlineStr">
        <is>
          <t xml:space="preserve">  דוד לוי  </t>
        </is>
      </c>
      <c r="C19" t="inlineStr">
        <is>
          <t>P-HEALTH</t>
        </is>
      </c>
      <c r="D19" s="12" t="n">
        <v>1467.49</v>
      </c>
      <c r="E19" s="13" t="n">
        <v>45577</v>
      </c>
      <c r="F19" t="inlineStr">
        <is>
          <t>C-2015</t>
        </is>
      </c>
      <c r="G19" t="inlineStr"/>
      <c r="H19" t="inlineStr"/>
      <c r="I19" t="inlineStr"/>
    </row>
    <row r="20">
      <c r="A20" t="inlineStr">
        <is>
          <t>POL-1017</t>
        </is>
      </c>
      <c r="B20" t="inlineStr">
        <is>
          <t>יוסי אברהם</t>
        </is>
      </c>
      <c r="C20" t="inlineStr">
        <is>
          <t>P-HOME</t>
        </is>
      </c>
      <c r="D20" s="12" t="n">
        <v>1854.76</v>
      </c>
      <c r="E20" s="13" t="n">
        <v>45141</v>
      </c>
      <c r="F20" t="inlineStr">
        <is>
          <t>C-2016</t>
        </is>
      </c>
      <c r="G20" t="inlineStr"/>
      <c r="H20" t="inlineStr"/>
      <c r="I20" t="inlineStr"/>
    </row>
    <row r="21">
      <c r="A21" t="inlineStr">
        <is>
          <t>POL-1018</t>
        </is>
      </c>
      <c r="B21" t="inlineStr">
        <is>
          <t>יוסי אברהם</t>
        </is>
      </c>
      <c r="C21" t="inlineStr">
        <is>
          <t>P-PET</t>
        </is>
      </c>
      <c r="D21" s="12" t="n">
        <v>4233.95</v>
      </c>
      <c r="E21" s="13" t="n">
        <v>45590</v>
      </c>
      <c r="F21" t="inlineStr">
        <is>
          <t>C-2017</t>
        </is>
      </c>
      <c r="G21" t="inlineStr"/>
      <c r="H21" t="inlineStr"/>
      <c r="I21" t="inlineStr"/>
    </row>
    <row r="22">
      <c r="A22" t="inlineStr">
        <is>
          <t>POL-1019</t>
        </is>
      </c>
      <c r="B22" t="inlineStr">
        <is>
          <t>דוד לוי</t>
        </is>
      </c>
      <c r="C22" t="inlineStr">
        <is>
          <t>P-TRAVEL</t>
        </is>
      </c>
      <c r="D22" s="12" t="n">
        <v>2966.91</v>
      </c>
      <c r="E22" s="13" t="n">
        <v>45473</v>
      </c>
      <c r="F22" t="inlineStr"/>
      <c r="G22" t="inlineStr"/>
      <c r="H22" t="inlineStr"/>
      <c r="I22" t="inlineStr"/>
    </row>
    <row r="23">
      <c r="A23" t="inlineStr">
        <is>
          <t>POL-1020</t>
        </is>
      </c>
      <c r="B23" t="inlineStr">
        <is>
          <t>מיכל כהן</t>
        </is>
      </c>
      <c r="C23" t="inlineStr">
        <is>
          <t>P-HOME</t>
        </is>
      </c>
      <c r="D23" s="12" t="n">
        <v>2241.49</v>
      </c>
      <c r="E23" s="13" t="n">
        <v>45203</v>
      </c>
      <c r="F23" t="inlineStr">
        <is>
          <t>C-2019</t>
        </is>
      </c>
      <c r="G23" t="inlineStr"/>
      <c r="H23" t="inlineStr"/>
      <c r="I23" t="inlineStr"/>
    </row>
    <row r="24">
      <c r="A24" t="inlineStr">
        <is>
          <t>POL-1021</t>
        </is>
      </c>
      <c r="B24" t="inlineStr">
        <is>
          <t xml:space="preserve">  אבי מזרחי  </t>
        </is>
      </c>
      <c r="C24" t="inlineStr">
        <is>
          <t>P-HOME</t>
        </is>
      </c>
      <c r="D24" s="12" t="n">
        <v>3175.38</v>
      </c>
      <c r="E24" s="13" t="n">
        <v>45790</v>
      </c>
      <c r="F24" t="inlineStr">
        <is>
          <t>C-2020</t>
        </is>
      </c>
      <c r="G24" t="inlineStr"/>
      <c r="H24" t="inlineStr"/>
      <c r="I24" t="inlineStr"/>
    </row>
    <row r="25">
      <c r="A25" t="inlineStr">
        <is>
          <t>POL-1022</t>
        </is>
      </c>
      <c r="B25" t="inlineStr">
        <is>
          <t>דוד לוי</t>
        </is>
      </c>
      <c r="C25" t="inlineStr">
        <is>
          <t>P-HOME</t>
        </is>
      </c>
      <c r="D25" s="12" t="n">
        <v>3751.57</v>
      </c>
      <c r="E25" s="13" t="n">
        <v>45751</v>
      </c>
      <c r="F25" t="inlineStr">
        <is>
          <t>C-2021</t>
        </is>
      </c>
      <c r="G25" t="inlineStr"/>
      <c r="H25" t="inlineStr"/>
      <c r="I25" t="inlineStr"/>
    </row>
    <row r="26">
      <c r="A26" t="inlineStr">
        <is>
          <t>POL-1004</t>
        </is>
      </c>
      <c r="B26" t="inlineStr">
        <is>
          <t>יוסי אברהם</t>
        </is>
      </c>
      <c r="C26" t="inlineStr">
        <is>
          <t>P-HEALTH</t>
        </is>
      </c>
      <c r="D26" s="12" t="n">
        <v>1424.51</v>
      </c>
      <c r="E26" s="13" t="n">
        <v>45143</v>
      </c>
      <c r="F26" t="inlineStr">
        <is>
          <t>C-2022</t>
        </is>
      </c>
      <c r="G26" t="inlineStr"/>
      <c r="H26" t="inlineStr"/>
      <c r="I26" t="inlineStr"/>
    </row>
    <row r="27">
      <c r="A27" t="inlineStr">
        <is>
          <t>POL-1024</t>
        </is>
      </c>
      <c r="B27" t="inlineStr">
        <is>
          <t>אבי מזרחי</t>
        </is>
      </c>
      <c r="C27" t="inlineStr">
        <is>
          <t>P-PET</t>
        </is>
      </c>
      <c r="D27" s="12" t="n">
        <v>1621.65</v>
      </c>
      <c r="E27" s="13" t="n">
        <v>45598</v>
      </c>
      <c r="F27" t="inlineStr">
        <is>
          <t>C-2023</t>
        </is>
      </c>
      <c r="G27" t="inlineStr"/>
      <c r="H27" t="inlineStr"/>
      <c r="I27" t="inlineStr"/>
    </row>
    <row r="28">
      <c r="A28" t="inlineStr">
        <is>
          <t>POL-1025</t>
        </is>
      </c>
      <c r="B28" t="inlineStr">
        <is>
          <t>רונית שמעוני</t>
        </is>
      </c>
      <c r="C28" t="inlineStr">
        <is>
          <t>P-HEALTH</t>
        </is>
      </c>
      <c r="D28" s="12" t="n">
        <v>4015.67</v>
      </c>
      <c r="E28" s="13" t="n">
        <v>45585</v>
      </c>
      <c r="F28" t="inlineStr">
        <is>
          <t>C-2024</t>
        </is>
      </c>
      <c r="G28" t="inlineStr"/>
      <c r="H28" t="inlineStr"/>
      <c r="I28" t="inlineStr"/>
    </row>
    <row r="29">
      <c r="A29" t="inlineStr">
        <is>
          <t>POL-1026</t>
        </is>
      </c>
      <c r="B29" t="inlineStr">
        <is>
          <t xml:space="preserve">  רונית שמעוני  </t>
        </is>
      </c>
      <c r="C29" t="inlineStr">
        <is>
          <t>P-HOME</t>
        </is>
      </c>
      <c r="D29" s="12" t="n">
        <v>1412.5</v>
      </c>
      <c r="E29" s="13" t="n">
        <v>45179</v>
      </c>
      <c r="F29" t="inlineStr">
        <is>
          <t>C-2025</t>
        </is>
      </c>
      <c r="G29" t="inlineStr"/>
      <c r="H29" t="inlineStr"/>
      <c r="I29" t="inlineStr"/>
    </row>
    <row r="30">
      <c r="A30" t="inlineStr">
        <is>
          <t>POL-1027</t>
        </is>
      </c>
      <c r="B30" t="inlineStr">
        <is>
          <t>אבי מזרחי</t>
        </is>
      </c>
      <c r="C30" t="inlineStr">
        <is>
          <t>P-TRAVEL</t>
        </is>
      </c>
      <c r="D30" s="12" t="n">
        <v>1403.51</v>
      </c>
      <c r="E30" s="13" t="n">
        <v>45525</v>
      </c>
      <c r="F30" t="inlineStr">
        <is>
          <t>C-2026</t>
        </is>
      </c>
      <c r="G30" t="inlineStr"/>
      <c r="H30" t="inlineStr"/>
      <c r="I30" t="inlineStr"/>
    </row>
    <row r="31">
      <c r="A31" t="inlineStr">
        <is>
          <t>POL-1028</t>
        </is>
      </c>
      <c r="B31" t="inlineStr">
        <is>
          <t>רונית שמעוני</t>
        </is>
      </c>
      <c r="C31" t="inlineStr">
        <is>
          <t>P-TRAVEL</t>
        </is>
      </c>
      <c r="D31" s="12" t="n">
        <v>1977.48</v>
      </c>
      <c r="E31" s="13" t="n">
        <v>45151</v>
      </c>
      <c r="F31" t="inlineStr">
        <is>
          <t>C-2027</t>
        </is>
      </c>
      <c r="G31" t="inlineStr"/>
      <c r="H31" t="inlineStr"/>
      <c r="I31" t="inlineStr"/>
    </row>
    <row r="32">
      <c r="A32" t="inlineStr">
        <is>
          <t>POL-1029</t>
        </is>
      </c>
      <c r="B32" t="inlineStr">
        <is>
          <t>מיכל כהן</t>
        </is>
      </c>
      <c r="C32" t="inlineStr">
        <is>
          <t>P-TRAVEL</t>
        </is>
      </c>
      <c r="D32" s="12" t="n">
        <v>2372.77</v>
      </c>
      <c r="E32" s="13" t="n">
        <v>45700</v>
      </c>
      <c r="F32" t="inlineStr">
        <is>
          <t>C-2028</t>
        </is>
      </c>
      <c r="G32" t="inlineStr"/>
      <c r="H32" t="inlineStr"/>
      <c r="I32" t="inlineStr"/>
    </row>
    <row r="33">
      <c r="A33" t="inlineStr">
        <is>
          <t>POL-1030</t>
        </is>
      </c>
      <c r="B33" t="inlineStr">
        <is>
          <t>דוד לוי</t>
        </is>
      </c>
      <c r="C33" t="inlineStr">
        <is>
          <t>P-CAR</t>
        </is>
      </c>
      <c r="D33" s="12" t="n">
        <v>941.9299999999999</v>
      </c>
      <c r="E33" s="13" t="n">
        <v>45090</v>
      </c>
      <c r="F33" t="inlineStr">
        <is>
          <t>C-2029</t>
        </is>
      </c>
      <c r="G33" t="inlineStr"/>
      <c r="H33" t="inlineStr"/>
      <c r="I33" t="inlineStr"/>
    </row>
    <row r="34">
      <c r="A34" t="inlineStr">
        <is>
          <t>POL-1031</t>
        </is>
      </c>
      <c r="B34" t="inlineStr">
        <is>
          <t xml:space="preserve">  רונית שמעוני  </t>
        </is>
      </c>
      <c r="C34" t="inlineStr">
        <is>
          <t>P-TRAVEL</t>
        </is>
      </c>
      <c r="D34" s="12" t="n">
        <v>566.8200000000001</v>
      </c>
      <c r="E34" s="13" t="n">
        <v>46447</v>
      </c>
      <c r="F34" t="inlineStr">
        <is>
          <t>C-2030</t>
        </is>
      </c>
      <c r="G34" t="inlineStr"/>
      <c r="H34" t="inlineStr"/>
      <c r="I34" t="inlineStr"/>
    </row>
    <row r="35">
      <c r="A35" t="inlineStr">
        <is>
          <t>POL-1032</t>
        </is>
      </c>
      <c r="B35" t="inlineStr">
        <is>
          <t>אבי מזרחי</t>
        </is>
      </c>
      <c r="C35" t="inlineStr">
        <is>
          <t>P-HEALTH</t>
        </is>
      </c>
      <c r="D35" s="12" t="n">
        <v>2522.28</v>
      </c>
      <c r="E35" s="13" t="n">
        <v>45493</v>
      </c>
      <c r="F35" t="inlineStr">
        <is>
          <t>C-2031</t>
        </is>
      </c>
      <c r="G35" t="inlineStr"/>
      <c r="H35" t="inlineStr"/>
      <c r="I35" t="inlineStr"/>
    </row>
    <row r="36">
      <c r="A36" t="inlineStr">
        <is>
          <t>POL-1033</t>
        </is>
      </c>
      <c r="B36" t="inlineStr">
        <is>
          <t>דוד לוי</t>
        </is>
      </c>
      <c r="C36" t="inlineStr">
        <is>
          <t>P-PET</t>
        </is>
      </c>
      <c r="D36" s="12" t="n">
        <v>3327.03</v>
      </c>
      <c r="E36" s="13" t="n">
        <v>45625</v>
      </c>
      <c r="F36" t="inlineStr">
        <is>
          <t>C-2032</t>
        </is>
      </c>
      <c r="G36" t="inlineStr"/>
      <c r="H36" t="inlineStr"/>
      <c r="I36" t="inlineStr"/>
    </row>
    <row r="37">
      <c r="A37" t="inlineStr">
        <is>
          <t>POL-1034</t>
        </is>
      </c>
      <c r="B37" t="inlineStr">
        <is>
          <t>אבי מזרחי</t>
        </is>
      </c>
      <c r="C37" t="inlineStr">
        <is>
          <t>P-LIFE</t>
        </is>
      </c>
      <c r="D37" s="12" t="n">
        <v>3528.11</v>
      </c>
      <c r="E37" s="13" t="n">
        <v>45275</v>
      </c>
      <c r="F37" t="inlineStr">
        <is>
          <t>C-2033</t>
        </is>
      </c>
      <c r="G37" t="inlineStr"/>
      <c r="H37" t="inlineStr"/>
      <c r="I37" t="inlineStr"/>
    </row>
    <row r="38">
      <c r="A38" t="inlineStr">
        <is>
          <t>POL-1035</t>
        </is>
      </c>
      <c r="B38" t="inlineStr">
        <is>
          <t>דוד לוי</t>
        </is>
      </c>
      <c r="C38" t="inlineStr">
        <is>
          <t>P-LIFE</t>
        </is>
      </c>
      <c r="D38" s="12" t="n">
        <v>2126.01</v>
      </c>
      <c r="E38" s="13" t="n">
        <v>45391</v>
      </c>
      <c r="F38" t="inlineStr">
        <is>
          <t>C-2034</t>
        </is>
      </c>
      <c r="G38" t="inlineStr"/>
      <c r="H38" t="inlineStr"/>
      <c r="I38" t="inlineStr"/>
    </row>
    <row r="39">
      <c r="A39" t="inlineStr">
        <is>
          <t>POL-1036</t>
        </is>
      </c>
      <c r="B39" t="inlineStr">
        <is>
          <t xml:space="preserve">  דוד לוי  </t>
        </is>
      </c>
      <c r="C39" t="inlineStr">
        <is>
          <t>P-PET</t>
        </is>
      </c>
      <c r="D39" s="12" t="n">
        <v>3978.58</v>
      </c>
      <c r="E39" s="13" t="n">
        <v>45196</v>
      </c>
      <c r="F39" t="inlineStr">
        <is>
          <t>C-2035</t>
        </is>
      </c>
      <c r="G39" t="inlineStr"/>
      <c r="H39" t="inlineStr"/>
      <c r="I39" t="inlineStr"/>
    </row>
    <row r="40">
      <c r="A40" t="inlineStr">
        <is>
          <t>POL-1037</t>
        </is>
      </c>
      <c r="B40" t="inlineStr">
        <is>
          <t>אבי מזרחי</t>
        </is>
      </c>
      <c r="C40" t="inlineStr">
        <is>
          <t>P-HOME</t>
        </is>
      </c>
      <c r="D40" s="12" t="n">
        <v>2432.26</v>
      </c>
      <c r="E40" s="13" t="n">
        <v>45035</v>
      </c>
      <c r="F40" t="inlineStr">
        <is>
          <t>C-2036</t>
        </is>
      </c>
      <c r="G40" t="inlineStr"/>
      <c r="H40" t="inlineStr"/>
      <c r="I40" t="inlineStr"/>
    </row>
    <row r="41">
      <c r="A41" t="inlineStr">
        <is>
          <t>POL-1038</t>
        </is>
      </c>
      <c r="B41" t="inlineStr">
        <is>
          <t>יוסי אברהם</t>
        </is>
      </c>
      <c r="C41" t="inlineStr">
        <is>
          <t>P-PET</t>
        </is>
      </c>
      <c r="D41" s="12" t="n">
        <v>2432.18</v>
      </c>
      <c r="E41" s="13" t="n">
        <v>45130</v>
      </c>
      <c r="F41" t="inlineStr">
        <is>
          <t>C-2037</t>
        </is>
      </c>
      <c r="G41" t="inlineStr"/>
      <c r="H41" t="inlineStr"/>
      <c r="I41" t="inlineStr"/>
    </row>
    <row r="42">
      <c r="A42" t="inlineStr">
        <is>
          <t>POL-1039</t>
        </is>
      </c>
      <c r="B42" t="inlineStr">
        <is>
          <t>מיכל כהן</t>
        </is>
      </c>
      <c r="C42" t="inlineStr">
        <is>
          <t>P-LIFE</t>
        </is>
      </c>
      <c r="D42" s="12" t="n">
        <v>3502.55</v>
      </c>
      <c r="E42" s="13" t="n">
        <v>45479</v>
      </c>
      <c r="F42" t="inlineStr">
        <is>
          <t>C-2038</t>
        </is>
      </c>
      <c r="G42" t="inlineStr"/>
      <c r="H42" t="inlineStr"/>
      <c r="I42" t="inlineStr"/>
    </row>
    <row r="43">
      <c r="A43" t="inlineStr">
        <is>
          <t>POL-1040</t>
        </is>
      </c>
      <c r="B43" t="inlineStr">
        <is>
          <t>אבי מזרחי</t>
        </is>
      </c>
      <c r="C43" t="inlineStr">
        <is>
          <t>P-CAR</t>
        </is>
      </c>
      <c r="D43" s="12" t="n">
        <v>2815.57</v>
      </c>
      <c r="E43" s="13" t="n">
        <v>45427</v>
      </c>
      <c r="F43" t="inlineStr">
        <is>
          <t>C-2039</t>
        </is>
      </c>
      <c r="G43" t="inlineStr"/>
      <c r="H43" t="inlineStr"/>
      <c r="I43" t="inlineStr"/>
    </row>
    <row r="45">
      <c r="A45" s="8" t="inlineStr">
        <is>
          <t>משימה 1 (עמודה G): =IF(F4="","חסר","תקין")  — בדיקת מזהה לקוח קיים.</t>
        </is>
      </c>
    </row>
    <row r="46">
      <c r="A46" s="8" t="inlineStr">
        <is>
          <t>משימה 2 (עמודה H): =IF(COUNTIF($A$4:$A$43,A4)&gt;1,"כפול","ייחודי")</t>
        </is>
      </c>
    </row>
    <row r="47">
      <c r="A47" s="8" t="inlineStr">
        <is>
          <t>משימה 3 (עמודה I): שלבו תנאים נוספים (פרמיה שלילית, תאריך עתידי, G ו-H) לנוסחה אחת שמחזירה "קביל" או "נדחה" — נסו עם IF מקונן או AND/OR.</t>
        </is>
      </c>
    </row>
    <row r="48">
      <c r="A48" s="8" t="inlineStr">
        <is>
          <t>דוגמה לכיוון פתרון: =IF(OR(G4="חסר",H4="כפול",D4&lt;0,E4&gt;TODAY()),"נדחה","קביל")</t>
        </is>
      </c>
    </row>
  </sheetData>
  <mergeCells count="5">
    <mergeCell ref="A47:I47"/>
    <mergeCell ref="A46:I46"/>
    <mergeCell ref="A1:I1"/>
    <mergeCell ref="A45:I45"/>
    <mergeCell ref="A48:I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פרק 8 — תרגול מודרך: Power Query (אופציונלי, לרמה מתקדמת יותר)</t>
        </is>
      </c>
    </row>
    <row r="2">
      <c r="A2" s="8" t="inlineStr"/>
    </row>
    <row r="3">
      <c r="A3" s="8" t="inlineStr">
        <is>
          <t>המטרה: לבצע את אותו ניקוי נתונים שעשיתם עם נוסחאות בגיליון '03_ניקוי_נתונים', הפעם דרך Power Query — כלי ה-ETL המובנה של Excel.</t>
        </is>
      </c>
    </row>
    <row r="4">
      <c r="A4" s="8" t="inlineStr"/>
    </row>
    <row r="5">
      <c r="A5" s="14" t="inlineStr">
        <is>
          <t>שלבים:</t>
        </is>
      </c>
    </row>
    <row r="6">
      <c r="A6" s="8" t="inlineStr">
        <is>
          <t>1. עברו לגיליון '03_ניקוי_נתונים' וסמנו את טווח הנתונים כולל כותרות (A3:D43).</t>
        </is>
      </c>
    </row>
    <row r="7">
      <c r="A7" s="8" t="inlineStr">
        <is>
          <t>2. Data → From Table/Range (אם Excel מבקש, אשרו 'My table has headers').</t>
        </is>
      </c>
    </row>
    <row r="8">
      <c r="A8" s="8" t="inlineStr">
        <is>
          <t>3. ייפתח חלון Power Query Editor עם עורך שלבים (Applied Steps) בצד.</t>
        </is>
      </c>
    </row>
    <row r="9">
      <c r="A9" s="8" t="inlineStr">
        <is>
          <t>4. סמנו את עמודת 'שם סוכן (מקור - מלוכלך)' ← Transform → Format → Trim, ואז שוב Format → Capitalize Each Word (מקביל ל-TRIM ו-PROPER שעשיתם בנוסחה).</t>
        </is>
      </c>
    </row>
    <row r="10">
      <c r="A10" s="8" t="inlineStr">
        <is>
          <t>5. סמנו את עמודת 'מספר פוליסה (מקור)' ← לחצן ימני ← Remove Duplicates (מקביל לבדיקת הכפילות שעשיתם עם COUNTIF).</t>
        </is>
      </c>
    </row>
    <row r="11">
      <c r="A11" s="8" t="inlineStr">
        <is>
          <t>6. שנו את סוג הנתונים (Data Type) של כל עמודה בעזרת הסמל בראש העמודה, כדי לוודא שהפרמיה מזוהה כ-Decimal Number.</t>
        </is>
      </c>
    </row>
    <row r="12">
      <c r="A12" s="8" t="inlineStr">
        <is>
          <t>7. Home → Close &amp; Load — הנתונים הנקיים ייטענו כטבלה חדשה בגיליון חדש.</t>
        </is>
      </c>
    </row>
    <row r="13">
      <c r="A13" s="8" t="inlineStr"/>
    </row>
    <row r="14">
      <c r="A14" s="14" t="inlineStr">
        <is>
          <t>היתרון על פני נוסחאות: כל שלב נשמר ורשום ב-Applied Steps. אם מגיע קובץ חדש עם אותו מבנה, מספיק ללחוץ Data → Refresh All וכל תהליך הניקוי רץ מחדש אוטומטית — בלי לגרור נוסחאות מחדש.</t>
        </is>
      </c>
    </row>
    <row r="15">
      <c r="A15" s="8" t="inlineStr"/>
    </row>
    <row r="16">
      <c r="A16" s="14" t="inlineStr">
        <is>
          <t>לחיזוק: נסו למזג (Merge Queries) את הנתונים הנקיים מול טבלת המוצרים בגיליון '04_VLOOKUP' (עמודות H:I) — זו הדרך של Power Query לעשות VLOOKUP, רק שקופה וניתנת לתיעוד.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5" customWidth="1" min="3" max="3"/>
  </cols>
  <sheetData>
    <row r="1">
      <c r="A1" s="1" t="inlineStr">
        <is>
          <t>פתרונות — נסו לבד לפני שאתם מציצים כאן</t>
        </is>
      </c>
    </row>
    <row r="3">
      <c r="A3" s="6" t="inlineStr">
        <is>
          <t>פרק</t>
        </is>
      </c>
      <c r="B3" s="6" t="inlineStr">
        <is>
          <t>משימה</t>
        </is>
      </c>
      <c r="C3" s="6" t="inlineStr">
        <is>
          <t>נוסחת פתרון / הסבר</t>
        </is>
      </c>
    </row>
    <row r="4">
      <c r="A4" s="15" t="inlineStr">
        <is>
          <t>01</t>
        </is>
      </c>
      <c r="B4" s="15" t="inlineStr">
        <is>
          <t>מחיר אחרי הנחה</t>
        </is>
      </c>
      <c r="C4" s="15">
        <f>B4*(1-$H$2)  — ה-$ נועל את H2 כדי שהגרירה לא תזיז אותו</f>
        <v/>
      </c>
    </row>
    <row r="5">
      <c r="A5" s="15" t="inlineStr">
        <is>
          <t>02</t>
        </is>
      </c>
      <c r="B5" s="15" t="inlineStr">
        <is>
          <t>סה"כ פרמיה</t>
        </is>
      </c>
      <c r="C5" s="15">
        <f>SUM(D4:D43)</f>
        <v/>
      </c>
    </row>
    <row r="6">
      <c r="A6" s="15" t="inlineStr">
        <is>
          <t>02</t>
        </is>
      </c>
      <c r="B6" s="15" t="inlineStr">
        <is>
          <t>ממוצע פרמיה</t>
        </is>
      </c>
      <c r="C6" s="15">
        <f>AVERAGE(D4:D43)</f>
        <v/>
      </c>
    </row>
    <row r="7">
      <c r="A7" s="15" t="inlineStr">
        <is>
          <t>02</t>
        </is>
      </c>
      <c r="B7" s="15" t="inlineStr">
        <is>
          <t>מזהה לקוח חסר</t>
        </is>
      </c>
      <c r="C7" s="15">
        <f>COUNTBLANK(F4:F43)</f>
        <v/>
      </c>
    </row>
    <row r="8">
      <c r="A8" s="15" t="inlineStr">
        <is>
          <t>02</t>
        </is>
      </c>
      <c r="B8" s="15" t="inlineStr">
        <is>
          <t>כמות P-CAR</t>
        </is>
      </c>
      <c r="C8" s="15">
        <f>COUNTIF(C4:C43,"P-CAR")</f>
        <v/>
      </c>
    </row>
    <row r="9">
      <c r="A9" s="15" t="inlineStr">
        <is>
          <t>02</t>
        </is>
      </c>
      <c r="B9" s="15" t="inlineStr">
        <is>
          <t>סה"כ פרמיה ל-P-HEALTH</t>
        </is>
      </c>
      <c r="C9" s="15">
        <f>SUMIF(C4:C43,"P-HEALTH",D4:D43)</f>
        <v/>
      </c>
    </row>
    <row r="10">
      <c r="A10" s="15" t="inlineStr">
        <is>
          <t>03</t>
        </is>
      </c>
      <c r="B10" s="15" t="inlineStr">
        <is>
          <t>שם סוכן נקי</t>
        </is>
      </c>
      <c r="C10" s="15">
        <f>PROPER(TRIM(B4))</f>
        <v/>
      </c>
    </row>
    <row r="11">
      <c r="A11" s="15" t="inlineStr">
        <is>
          <t>03</t>
        </is>
      </c>
      <c r="B11" s="15" t="inlineStr">
        <is>
          <t>כפילות</t>
        </is>
      </c>
      <c r="C11" s="15">
        <f>IF(COUNTIF($A$4:$A$43,A4)&gt;1,"כפול","ייחודי")</f>
        <v/>
      </c>
    </row>
    <row r="12">
      <c r="A12" s="15" t="inlineStr">
        <is>
          <t>04</t>
        </is>
      </c>
      <c r="B12" s="15" t="inlineStr">
        <is>
          <t>שם מוצר לפי קוד</t>
        </is>
      </c>
      <c r="C12" s="15">
        <f>IFERROR(VLOOKUP(B4,$H$5:$I$9,2,FALSE),"קוד לא קיים")</f>
        <v/>
      </c>
    </row>
    <row r="13">
      <c r="A13" s="15" t="inlineStr">
        <is>
          <t>04</t>
        </is>
      </c>
      <c r="B13" s="15" t="inlineStr">
        <is>
          <t>שם סוכן לפי קוד</t>
        </is>
      </c>
      <c r="C13" s="15">
        <f>IFERROR(INDEX($L$5:$L$9,MATCH(D4,$K$5:$K$9,0)),"קוד לא קיים")</f>
        <v/>
      </c>
    </row>
    <row r="14">
      <c r="A14" s="15" t="inlineStr">
        <is>
          <t>05</t>
        </is>
      </c>
      <c r="B14" s="15" t="inlineStr">
        <is>
          <t>PivotTable</t>
        </is>
      </c>
      <c r="C14" s="15" t="inlineStr">
        <is>
          <t>Insert &gt; PivotTable, Rows=שם סוכן, Values=Sum(פרמיה), Columns=סוג מוצר</t>
        </is>
      </c>
    </row>
    <row r="15">
      <c r="A15" s="15" t="inlineStr">
        <is>
          <t>06</t>
        </is>
      </c>
      <c r="B15" s="15" t="inlineStr">
        <is>
          <t>פרמיה שלילית</t>
        </is>
      </c>
      <c r="C15" s="15" t="inlineStr">
        <is>
          <t>New Rule &gt; Formula: =$D4&lt;0</t>
        </is>
      </c>
    </row>
    <row r="16">
      <c r="A16" s="15" t="inlineStr">
        <is>
          <t>06</t>
        </is>
      </c>
      <c r="B16" s="15" t="inlineStr">
        <is>
          <t>תאריך עתידי</t>
        </is>
      </c>
      <c r="C16" s="15" t="inlineStr">
        <is>
          <t>New Rule &gt; Formula: =$E4&gt;TODAY()</t>
        </is>
      </c>
    </row>
    <row r="17">
      <c r="A17" s="15" t="inlineStr">
        <is>
          <t>06</t>
        </is>
      </c>
      <c r="B17" s="15" t="inlineStr">
        <is>
          <t>פוליסה כפולה</t>
        </is>
      </c>
      <c r="C17" s="15" t="inlineStr">
        <is>
          <t>New Rule &gt; Formula: =COUNTIF($A$4:$A$43,$A4)&gt;1</t>
        </is>
      </c>
    </row>
    <row r="18">
      <c r="A18" s="15" t="inlineStr">
        <is>
          <t>07</t>
        </is>
      </c>
      <c r="B18" s="15" t="inlineStr">
        <is>
          <t>שדה חובה</t>
        </is>
      </c>
      <c r="C18" s="15">
        <f>IF(F4="","חסר","תקין")</f>
        <v/>
      </c>
    </row>
    <row r="19">
      <c r="A19" s="15" t="inlineStr">
        <is>
          <t>07</t>
        </is>
      </c>
      <c r="B19" s="15" t="inlineStr">
        <is>
          <t>כפילות</t>
        </is>
      </c>
      <c r="C19" s="15">
        <f>IF(COUNTIF($A$4:$A$43,A4)&gt;1,"כפול","ייחודי")</f>
        <v/>
      </c>
    </row>
    <row r="20">
      <c r="A20" s="15" t="inlineStr">
        <is>
          <t>07</t>
        </is>
      </c>
      <c r="B20" s="15" t="inlineStr">
        <is>
          <t>החלטה סופית</t>
        </is>
      </c>
      <c r="C20" s="15">
        <f>IF(OR(G4="חסר",H4="כפול",D4&lt;0,E4&gt;TODAY()),"נדחה","קביל")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2026-07-14T13:50:46Z</dcterms:created>
  <dcterms:modified xsi:type="dcterms:W3CDTF">2026-07-14T13:50:46Z</dcterms:modified>
</cp:coreProperties>
</file>